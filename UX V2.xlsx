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gar.kalyankar/Desktop/kachra/"/>
    </mc:Choice>
  </mc:AlternateContent>
  <xr:revisionPtr revIDLastSave="0" documentId="8_{5C89C1F4-C9EA-4E20-B0F8-FBE9FAF53882}" xr6:coauthVersionLast="47" xr6:coauthVersionMax="47" xr10:uidLastSave="{00000000-0000-0000-0000-000000000000}"/>
  <bookViews>
    <workbookView xWindow="2460" yWindow="1980" windowWidth="32220" windowHeight="17540" firstSheet="1" activeTab="1" xr2:uid="{4EEF912B-9488-F146-A7C7-28D193C81165}"/>
  </bookViews>
  <sheets>
    <sheet name="calendar" sheetId="1" state="hidden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2" l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A3" i="1"/>
  <c r="B3" i="1" s="1"/>
  <c r="N2" i="1"/>
  <c r="H2" i="1"/>
  <c r="I2" i="1" s="1"/>
  <c r="G2" i="1"/>
  <c r="F2" i="1"/>
  <c r="E2" i="1"/>
  <c r="D2" i="1"/>
  <c r="C2" i="1"/>
  <c r="B2" i="1"/>
  <c r="G3" i="1" l="1"/>
  <c r="F3" i="1"/>
  <c r="C3" i="1"/>
  <c r="D3" i="1"/>
  <c r="E3" i="1"/>
  <c r="H3" i="1"/>
  <c r="I3" i="1" s="1"/>
  <c r="A4" i="1"/>
  <c r="F4" i="1" l="1"/>
  <c r="E4" i="1"/>
  <c r="A5" i="1"/>
  <c r="H4" i="1"/>
  <c r="I4" i="1" s="1"/>
  <c r="G4" i="1"/>
  <c r="D4" i="1"/>
  <c r="C4" i="1"/>
  <c r="B4" i="1"/>
  <c r="E5" i="1" l="1"/>
  <c r="D5" i="1"/>
  <c r="B5" i="1"/>
  <c r="A6" i="1"/>
  <c r="H5" i="1"/>
  <c r="I5" i="1" s="1"/>
  <c r="G5" i="1"/>
  <c r="F5" i="1"/>
  <c r="C5" i="1"/>
  <c r="D6" i="1" l="1"/>
  <c r="C6" i="1"/>
  <c r="E6" i="1"/>
  <c r="B6" i="1"/>
  <c r="A7" i="1"/>
  <c r="H6" i="1"/>
  <c r="I6" i="1" s="1"/>
  <c r="G6" i="1"/>
  <c r="F6" i="1"/>
  <c r="C7" i="1" l="1"/>
  <c r="A8" i="1"/>
  <c r="B7" i="1"/>
  <c r="F7" i="1"/>
  <c r="E7" i="1"/>
  <c r="D7" i="1"/>
  <c r="H7" i="1"/>
  <c r="I7" i="1" s="1"/>
  <c r="G7" i="1"/>
  <c r="A9" i="1" l="1"/>
  <c r="B8" i="1"/>
  <c r="G8" i="1"/>
  <c r="F8" i="1"/>
  <c r="E8" i="1"/>
  <c r="D8" i="1"/>
  <c r="C8" i="1"/>
  <c r="H8" i="1"/>
  <c r="I8" i="1" s="1"/>
  <c r="H9" i="1" l="1"/>
  <c r="I9" i="1" s="1"/>
  <c r="A10" i="1"/>
  <c r="G9" i="1"/>
  <c r="F9" i="1"/>
  <c r="E9" i="1"/>
  <c r="D9" i="1"/>
  <c r="C9" i="1"/>
  <c r="B9" i="1"/>
  <c r="H10" i="1" l="1"/>
  <c r="I10" i="1" s="1"/>
  <c r="G10" i="1"/>
  <c r="A11" i="1"/>
  <c r="F10" i="1"/>
  <c r="E10" i="1"/>
  <c r="D10" i="1"/>
  <c r="C10" i="1"/>
  <c r="B10" i="1"/>
  <c r="G11" i="1" l="1"/>
  <c r="F11" i="1"/>
  <c r="B11" i="1"/>
  <c r="A12" i="1"/>
  <c r="H11" i="1"/>
  <c r="I11" i="1" s="1"/>
  <c r="E11" i="1"/>
  <c r="D11" i="1"/>
  <c r="C11" i="1"/>
  <c r="F12" i="1" l="1"/>
  <c r="E12" i="1"/>
  <c r="C12" i="1"/>
  <c r="B12" i="1"/>
  <c r="A13" i="1"/>
  <c r="H12" i="1"/>
  <c r="I12" i="1" s="1"/>
  <c r="G12" i="1"/>
  <c r="D12" i="1"/>
  <c r="E13" i="1" l="1"/>
  <c r="D13" i="1"/>
  <c r="F13" i="1"/>
  <c r="C13" i="1"/>
  <c r="B13" i="1"/>
  <c r="A14" i="1"/>
  <c r="H13" i="1"/>
  <c r="I13" i="1" s="1"/>
  <c r="G13" i="1"/>
  <c r="D14" i="1" l="1"/>
  <c r="C14" i="1"/>
  <c r="G14" i="1"/>
  <c r="F14" i="1"/>
  <c r="E14" i="1"/>
  <c r="B14" i="1"/>
  <c r="A15" i="1"/>
  <c r="H14" i="1"/>
  <c r="I14" i="1" s="1"/>
  <c r="C15" i="1" l="1"/>
  <c r="A16" i="1"/>
  <c r="B15" i="1"/>
  <c r="H15" i="1"/>
  <c r="I15" i="1" s="1"/>
  <c r="G15" i="1"/>
  <c r="F15" i="1"/>
  <c r="E15" i="1"/>
  <c r="D15" i="1"/>
  <c r="A17" i="1" l="1"/>
  <c r="B16" i="1"/>
  <c r="H16" i="1"/>
  <c r="I16" i="1" s="1"/>
  <c r="G16" i="1"/>
  <c r="F16" i="1"/>
  <c r="E16" i="1"/>
  <c r="D16" i="1"/>
  <c r="C16" i="1"/>
  <c r="H17" i="1" l="1"/>
  <c r="I17" i="1" s="1"/>
  <c r="B17" i="1"/>
  <c r="A18" i="1"/>
  <c r="G17" i="1"/>
  <c r="F17" i="1"/>
  <c r="E17" i="1"/>
  <c r="D17" i="1"/>
  <c r="C17" i="1"/>
  <c r="H18" i="1" l="1"/>
  <c r="I18" i="1" s="1"/>
  <c r="G18" i="1"/>
  <c r="C18" i="1"/>
  <c r="B18" i="1"/>
  <c r="A19" i="1"/>
  <c r="F18" i="1"/>
  <c r="E18" i="1"/>
  <c r="D18" i="1"/>
  <c r="G19" i="1" l="1"/>
  <c r="F19" i="1"/>
  <c r="D19" i="1"/>
  <c r="C19" i="1"/>
  <c r="B19" i="1"/>
  <c r="A20" i="1"/>
  <c r="H19" i="1"/>
  <c r="I19" i="1" s="1"/>
  <c r="E19" i="1"/>
  <c r="F20" i="1" l="1"/>
  <c r="E20" i="1"/>
  <c r="G20" i="1"/>
  <c r="D20" i="1"/>
  <c r="C20" i="1"/>
  <c r="B20" i="1"/>
  <c r="A21" i="1"/>
  <c r="H20" i="1"/>
  <c r="I20" i="1" s="1"/>
  <c r="E21" i="1" l="1"/>
  <c r="D21" i="1"/>
  <c r="H21" i="1"/>
  <c r="I21" i="1" s="1"/>
  <c r="G21" i="1"/>
  <c r="F21" i="1"/>
  <c r="C21" i="1"/>
  <c r="B21" i="1"/>
  <c r="A22" i="1"/>
  <c r="D22" i="1" l="1"/>
  <c r="C22" i="1"/>
  <c r="H22" i="1"/>
  <c r="I22" i="1" s="1"/>
  <c r="G22" i="1"/>
  <c r="F22" i="1"/>
  <c r="E22" i="1"/>
  <c r="B22" i="1"/>
  <c r="A23" i="1"/>
  <c r="D23" i="1" l="1"/>
  <c r="C23" i="1"/>
  <c r="B23" i="1"/>
  <c r="A24" i="1"/>
  <c r="H23" i="1"/>
  <c r="I23" i="1" s="1"/>
  <c r="G23" i="1"/>
  <c r="F23" i="1"/>
  <c r="E23" i="1"/>
  <c r="C24" i="1" l="1"/>
  <c r="A25" i="1"/>
  <c r="B24" i="1"/>
  <c r="E24" i="1"/>
  <c r="D24" i="1"/>
  <c r="F24" i="1"/>
  <c r="H24" i="1"/>
  <c r="I24" i="1" s="1"/>
  <c r="G24" i="1"/>
  <c r="A26" i="1" l="1"/>
  <c r="B25" i="1"/>
  <c r="F25" i="1"/>
  <c r="E25" i="1"/>
  <c r="H25" i="1"/>
  <c r="I25" i="1" s="1"/>
  <c r="G25" i="1"/>
  <c r="D25" i="1"/>
  <c r="C25" i="1"/>
  <c r="H26" i="1" l="1"/>
  <c r="I26" i="1" s="1"/>
  <c r="G26" i="1"/>
  <c r="F26" i="1"/>
  <c r="B26" i="1"/>
  <c r="A27" i="1"/>
  <c r="E26" i="1"/>
  <c r="D26" i="1"/>
  <c r="C26" i="1"/>
  <c r="H27" i="1" l="1"/>
  <c r="I27" i="1" s="1"/>
  <c r="G27" i="1"/>
  <c r="A28" i="1"/>
  <c r="E27" i="1"/>
  <c r="D27" i="1"/>
  <c r="C27" i="1"/>
  <c r="B27" i="1"/>
  <c r="F27" i="1"/>
  <c r="G28" i="1" l="1"/>
  <c r="F28" i="1"/>
  <c r="A29" i="1"/>
  <c r="H28" i="1"/>
  <c r="I28" i="1" s="1"/>
  <c r="E28" i="1"/>
  <c r="D28" i="1"/>
  <c r="C28" i="1"/>
  <c r="B28" i="1"/>
  <c r="F29" i="1" l="1"/>
  <c r="E29" i="1"/>
  <c r="B29" i="1"/>
  <c r="D29" i="1"/>
  <c r="C29" i="1"/>
  <c r="A30" i="1"/>
  <c r="H29" i="1"/>
  <c r="I29" i="1" s="1"/>
  <c r="G29" i="1"/>
  <c r="E30" i="1" l="1"/>
  <c r="D30" i="1"/>
  <c r="C30" i="1"/>
  <c r="B30" i="1"/>
  <c r="A31" i="1"/>
  <c r="H30" i="1"/>
  <c r="I30" i="1" s="1"/>
  <c r="G30" i="1"/>
  <c r="F30" i="1"/>
  <c r="D31" i="1" l="1"/>
  <c r="C31" i="1"/>
  <c r="F31" i="1"/>
  <c r="E31" i="1"/>
  <c r="B31" i="1"/>
  <c r="A32" i="1"/>
  <c r="H31" i="1"/>
  <c r="I31" i="1" s="1"/>
  <c r="G31" i="1"/>
  <c r="C32" i="1" l="1"/>
  <c r="A33" i="1"/>
  <c r="B32" i="1"/>
  <c r="G32" i="1"/>
  <c r="F32" i="1"/>
  <c r="D32" i="1"/>
  <c r="H32" i="1"/>
  <c r="I32" i="1" s="1"/>
  <c r="E32" i="1"/>
  <c r="A34" i="1" l="1"/>
  <c r="B33" i="1"/>
  <c r="H33" i="1"/>
  <c r="I33" i="1" s="1"/>
  <c r="G33" i="1"/>
  <c r="E33" i="1"/>
  <c r="C33" i="1"/>
  <c r="F33" i="1"/>
  <c r="D33" i="1"/>
  <c r="H34" i="1" l="1"/>
  <c r="I34" i="1" s="1"/>
  <c r="A35" i="1"/>
  <c r="F34" i="1"/>
  <c r="G34" i="1"/>
  <c r="E34" i="1"/>
  <c r="D34" i="1"/>
  <c r="C34" i="1"/>
  <c r="B34" i="1"/>
  <c r="H35" i="1" l="1"/>
  <c r="I35" i="1" s="1"/>
  <c r="G35" i="1"/>
  <c r="B35" i="1"/>
  <c r="C35" i="1"/>
  <c r="A36" i="1"/>
  <c r="F35" i="1"/>
  <c r="E35" i="1"/>
  <c r="D35" i="1"/>
  <c r="G36" i="1" l="1"/>
  <c r="F36" i="1"/>
  <c r="C36" i="1"/>
  <c r="B36" i="1"/>
  <c r="A37" i="1"/>
  <c r="H36" i="1"/>
  <c r="I36" i="1" s="1"/>
  <c r="E36" i="1"/>
  <c r="D36" i="1"/>
  <c r="F37" i="1" l="1"/>
  <c r="E37" i="1"/>
  <c r="D37" i="1"/>
  <c r="C37" i="1"/>
  <c r="A38" i="1"/>
  <c r="H37" i="1"/>
  <c r="I37" i="1" s="1"/>
  <c r="G37" i="1"/>
  <c r="B37" i="1"/>
  <c r="E38" i="1" l="1"/>
  <c r="D38" i="1"/>
  <c r="G38" i="1"/>
  <c r="F38" i="1"/>
  <c r="B38" i="1"/>
  <c r="H38" i="1"/>
  <c r="I38" i="1" s="1"/>
  <c r="C38" i="1"/>
  <c r="A39" i="1"/>
  <c r="D39" i="1" l="1"/>
  <c r="C39" i="1"/>
  <c r="H39" i="1"/>
  <c r="I39" i="1" s="1"/>
  <c r="G39" i="1"/>
  <c r="E39" i="1"/>
  <c r="A40" i="1"/>
  <c r="F39" i="1"/>
  <c r="B39" i="1"/>
  <c r="C40" i="1" l="1"/>
  <c r="A41" i="1"/>
  <c r="B40" i="1"/>
  <c r="H40" i="1"/>
  <c r="I40" i="1" s="1"/>
  <c r="F40" i="1"/>
  <c r="G40" i="1"/>
  <c r="E40" i="1"/>
  <c r="D40" i="1"/>
  <c r="A42" i="1" l="1"/>
  <c r="B41" i="1"/>
  <c r="G41" i="1"/>
  <c r="H41" i="1"/>
  <c r="I41" i="1" s="1"/>
  <c r="F41" i="1"/>
  <c r="E41" i="1"/>
  <c r="D41" i="1"/>
  <c r="C41" i="1"/>
  <c r="H42" i="1" l="1"/>
  <c r="I42" i="1" s="1"/>
  <c r="C42" i="1"/>
  <c r="B42" i="1"/>
  <c r="A43" i="1"/>
  <c r="F42" i="1"/>
  <c r="E42" i="1"/>
  <c r="D42" i="1"/>
  <c r="G42" i="1"/>
  <c r="H43" i="1" l="1"/>
  <c r="I43" i="1" s="1"/>
  <c r="G43" i="1"/>
  <c r="D43" i="1"/>
  <c r="C43" i="1"/>
  <c r="A44" i="1"/>
  <c r="F43" i="1"/>
  <c r="E43" i="1"/>
  <c r="B43" i="1"/>
  <c r="G44" i="1" l="1"/>
  <c r="F44" i="1"/>
  <c r="E44" i="1"/>
  <c r="D44" i="1"/>
  <c r="B44" i="1"/>
  <c r="H44" i="1"/>
  <c r="I44" i="1" s="1"/>
  <c r="C44" i="1"/>
  <c r="A45" i="1"/>
  <c r="A46" i="1" l="1"/>
  <c r="F45" i="1"/>
  <c r="E45" i="1"/>
  <c r="H45" i="1"/>
  <c r="I45" i="1" s="1"/>
  <c r="G45" i="1"/>
  <c r="C45" i="1"/>
  <c r="D45" i="1"/>
  <c r="B45" i="1"/>
  <c r="F46" i="1" l="1"/>
  <c r="E46" i="1"/>
  <c r="A47" i="1"/>
  <c r="G46" i="1"/>
  <c r="D46" i="1"/>
  <c r="C46" i="1"/>
  <c r="B46" i="1"/>
  <c r="H46" i="1"/>
  <c r="I46" i="1" s="1"/>
  <c r="H47" i="1" l="1"/>
  <c r="I47" i="1" s="1"/>
  <c r="F47" i="1"/>
  <c r="E47" i="1"/>
  <c r="B47" i="1"/>
  <c r="A48" i="1"/>
  <c r="G47" i="1"/>
  <c r="D47" i="1"/>
  <c r="C47" i="1"/>
  <c r="G48" i="1" l="1"/>
  <c r="F48" i="1"/>
  <c r="E48" i="1"/>
  <c r="D48" i="1"/>
  <c r="C48" i="1"/>
  <c r="H48" i="1"/>
  <c r="I48" i="1" s="1"/>
  <c r="B48" i="1"/>
  <c r="A49" i="1"/>
  <c r="F49" i="1" l="1"/>
  <c r="G49" i="1"/>
  <c r="E49" i="1"/>
  <c r="H49" i="1"/>
  <c r="I49" i="1" s="1"/>
  <c r="C49" i="1"/>
  <c r="A50" i="1"/>
  <c r="D49" i="1"/>
  <c r="B49" i="1"/>
  <c r="E50" i="1" l="1"/>
  <c r="G50" i="1"/>
  <c r="F50" i="1"/>
  <c r="A51" i="1"/>
  <c r="H50" i="1"/>
  <c r="I50" i="1" s="1"/>
  <c r="D50" i="1"/>
  <c r="C50" i="1"/>
  <c r="B50" i="1"/>
  <c r="D51" i="1" l="1"/>
  <c r="G51" i="1"/>
  <c r="F51" i="1"/>
  <c r="B51" i="1"/>
  <c r="A52" i="1"/>
  <c r="H51" i="1"/>
  <c r="I51" i="1" s="1"/>
  <c r="E51" i="1"/>
  <c r="C51" i="1"/>
  <c r="C52" i="1" l="1"/>
  <c r="G52" i="1"/>
  <c r="F52" i="1"/>
  <c r="E52" i="1"/>
  <c r="D52" i="1"/>
  <c r="A53" i="1"/>
  <c r="H52" i="1"/>
  <c r="I52" i="1" s="1"/>
  <c r="B52" i="1"/>
  <c r="A54" i="1" l="1"/>
  <c r="B53" i="1"/>
  <c r="G53" i="1"/>
  <c r="F53" i="1"/>
  <c r="H53" i="1"/>
  <c r="I53" i="1" s="1"/>
  <c r="D53" i="1"/>
  <c r="E53" i="1"/>
  <c r="C53" i="1"/>
  <c r="G54" i="1" l="1"/>
  <c r="F54" i="1"/>
  <c r="H54" i="1"/>
  <c r="I54" i="1" s="1"/>
  <c r="A55" i="1"/>
  <c r="E54" i="1"/>
  <c r="D54" i="1"/>
  <c r="C54" i="1"/>
  <c r="B54" i="1"/>
  <c r="H55" i="1" l="1"/>
  <c r="I55" i="1" s="1"/>
  <c r="G55" i="1"/>
  <c r="F55" i="1"/>
  <c r="C55" i="1"/>
  <c r="B55" i="1"/>
  <c r="D55" i="1"/>
  <c r="A56" i="1"/>
  <c r="E55" i="1"/>
  <c r="G56" i="1" l="1"/>
  <c r="H56" i="1"/>
  <c r="I56" i="1" s="1"/>
  <c r="F56" i="1"/>
  <c r="E56" i="1"/>
  <c r="D56" i="1"/>
  <c r="B56" i="1"/>
  <c r="A57" i="1"/>
  <c r="C56" i="1"/>
  <c r="F57" i="1" l="1"/>
  <c r="H57" i="1"/>
  <c r="I57" i="1" s="1"/>
  <c r="G57" i="1"/>
  <c r="A58" i="1"/>
  <c r="D57" i="1"/>
  <c r="C57" i="1"/>
  <c r="B57" i="1"/>
  <c r="E57" i="1"/>
  <c r="E58" i="1" l="1"/>
  <c r="H58" i="1"/>
  <c r="I58" i="1" s="1"/>
  <c r="G58" i="1"/>
  <c r="A59" i="1"/>
  <c r="F58" i="1"/>
  <c r="D58" i="1"/>
  <c r="C58" i="1"/>
  <c r="B58" i="1"/>
  <c r="D59" i="1" l="1"/>
  <c r="H59" i="1"/>
  <c r="I59" i="1" s="1"/>
  <c r="G59" i="1"/>
  <c r="C59" i="1"/>
  <c r="B59" i="1"/>
  <c r="F59" i="1"/>
  <c r="E59" i="1"/>
  <c r="A60" i="1"/>
  <c r="C60" i="1" l="1"/>
  <c r="H60" i="1"/>
  <c r="I60" i="1" s="1"/>
  <c r="G60" i="1"/>
  <c r="F60" i="1"/>
  <c r="E60" i="1"/>
  <c r="B60" i="1"/>
  <c r="A61" i="1"/>
  <c r="D60" i="1"/>
  <c r="A62" i="1" l="1"/>
  <c r="B61" i="1"/>
  <c r="H61" i="1"/>
  <c r="I61" i="1" s="1"/>
  <c r="G61" i="1"/>
  <c r="E61" i="1"/>
  <c r="F61" i="1"/>
  <c r="D61" i="1"/>
  <c r="C61" i="1"/>
  <c r="H62" i="1" l="1"/>
  <c r="I62" i="1" s="1"/>
  <c r="G62" i="1"/>
  <c r="B62" i="1"/>
  <c r="A63" i="1"/>
  <c r="F62" i="1"/>
  <c r="E62" i="1"/>
  <c r="D62" i="1"/>
  <c r="C62" i="1"/>
  <c r="H63" i="1" l="1"/>
  <c r="I63" i="1" s="1"/>
  <c r="G63" i="1"/>
  <c r="D63" i="1"/>
  <c r="C63" i="1"/>
  <c r="A64" i="1"/>
  <c r="F63" i="1"/>
  <c r="E63" i="1"/>
  <c r="B63" i="1"/>
  <c r="G64" i="1" l="1"/>
  <c r="H64" i="1"/>
  <c r="I64" i="1" s="1"/>
  <c r="F64" i="1"/>
  <c r="E64" i="1"/>
  <c r="C64" i="1"/>
  <c r="A65" i="1"/>
  <c r="D64" i="1"/>
  <c r="B64" i="1"/>
  <c r="F65" i="1" l="1"/>
  <c r="H65" i="1"/>
  <c r="I65" i="1" s="1"/>
  <c r="A66" i="1"/>
  <c r="E65" i="1"/>
  <c r="G65" i="1"/>
  <c r="D65" i="1"/>
  <c r="C65" i="1"/>
  <c r="B65" i="1"/>
  <c r="E66" i="1" l="1"/>
  <c r="H66" i="1"/>
  <c r="I66" i="1" s="1"/>
  <c r="B66" i="1"/>
  <c r="A67" i="1"/>
  <c r="C66" i="1"/>
  <c r="G66" i="1"/>
  <c r="F66" i="1"/>
  <c r="D66" i="1"/>
  <c r="D67" i="1" l="1"/>
  <c r="H67" i="1"/>
  <c r="I67" i="1" s="1"/>
  <c r="E67" i="1"/>
  <c r="C67" i="1"/>
  <c r="A68" i="1"/>
  <c r="G67" i="1"/>
  <c r="F67" i="1"/>
  <c r="B67" i="1"/>
  <c r="C68" i="1" l="1"/>
  <c r="A69" i="1"/>
  <c r="H68" i="1"/>
  <c r="I68" i="1" s="1"/>
  <c r="G68" i="1"/>
  <c r="F68" i="1"/>
  <c r="D68" i="1"/>
  <c r="B68" i="1"/>
  <c r="E68" i="1"/>
  <c r="A70" i="1" l="1"/>
  <c r="B69" i="1"/>
  <c r="G69" i="1"/>
  <c r="H69" i="1"/>
  <c r="I69" i="1" s="1"/>
  <c r="F69" i="1"/>
  <c r="E69" i="1"/>
  <c r="D69" i="1"/>
  <c r="C69" i="1"/>
  <c r="H70" i="1" l="1"/>
  <c r="I70" i="1" s="1"/>
  <c r="C70" i="1"/>
  <c r="B70" i="1"/>
  <c r="E70" i="1"/>
  <c r="D70" i="1"/>
  <c r="G70" i="1"/>
  <c r="F70" i="1"/>
  <c r="A71" i="1"/>
  <c r="H71" i="1" l="1"/>
  <c r="I71" i="1" s="1"/>
  <c r="G71" i="1"/>
  <c r="D71" i="1"/>
  <c r="C71" i="1"/>
  <c r="A72" i="1"/>
  <c r="E71" i="1"/>
  <c r="F71" i="1"/>
  <c r="B71" i="1"/>
  <c r="G72" i="1" l="1"/>
  <c r="F72" i="1"/>
  <c r="E72" i="1"/>
  <c r="D72" i="1"/>
  <c r="A73" i="1"/>
  <c r="H72" i="1"/>
  <c r="I72" i="1" s="1"/>
  <c r="C72" i="1"/>
  <c r="B72" i="1"/>
  <c r="F73" i="1" l="1"/>
  <c r="E73" i="1"/>
  <c r="H73" i="1"/>
  <c r="I73" i="1" s="1"/>
  <c r="G73" i="1"/>
  <c r="D73" i="1"/>
  <c r="C73" i="1"/>
  <c r="B73" i="1"/>
  <c r="A74" i="1"/>
  <c r="E74" i="1" l="1"/>
  <c r="D74" i="1"/>
  <c r="H74" i="1"/>
  <c r="I74" i="1" s="1"/>
  <c r="A75" i="1"/>
  <c r="F74" i="1"/>
  <c r="G74" i="1"/>
  <c r="C74" i="1"/>
  <c r="B74" i="1"/>
  <c r="D75" i="1" l="1"/>
  <c r="C75" i="1"/>
  <c r="A76" i="1"/>
  <c r="B75" i="1"/>
  <c r="G75" i="1"/>
  <c r="F75" i="1"/>
  <c r="E75" i="1"/>
  <c r="H75" i="1"/>
  <c r="I75" i="1" s="1"/>
  <c r="C76" i="1" l="1"/>
  <c r="A77" i="1"/>
  <c r="B76" i="1"/>
  <c r="G76" i="1"/>
  <c r="F76" i="1"/>
  <c r="D76" i="1"/>
  <c r="H76" i="1"/>
  <c r="I76" i="1" s="1"/>
  <c r="E76" i="1"/>
  <c r="A78" i="1" l="1"/>
  <c r="B77" i="1"/>
  <c r="D77" i="1"/>
  <c r="C77" i="1"/>
  <c r="G77" i="1"/>
  <c r="H77" i="1"/>
  <c r="I77" i="1" s="1"/>
  <c r="F77" i="1"/>
  <c r="E77" i="1"/>
  <c r="H78" i="1" l="1"/>
  <c r="I78" i="1" s="1"/>
  <c r="E78" i="1"/>
  <c r="D78" i="1"/>
  <c r="C78" i="1"/>
  <c r="B78" i="1"/>
  <c r="F78" i="1"/>
  <c r="A79" i="1"/>
  <c r="G78" i="1"/>
  <c r="H79" i="1" l="1"/>
  <c r="I79" i="1" s="1"/>
  <c r="G79" i="1"/>
  <c r="F79" i="1"/>
  <c r="E79" i="1"/>
  <c r="A80" i="1"/>
  <c r="C79" i="1"/>
  <c r="D79" i="1"/>
  <c r="B79" i="1"/>
  <c r="G80" i="1" l="1"/>
  <c r="F80" i="1"/>
  <c r="H80" i="1"/>
  <c r="I80" i="1" s="1"/>
  <c r="A81" i="1"/>
  <c r="E80" i="1"/>
  <c r="D80" i="1"/>
  <c r="C80" i="1"/>
  <c r="B80" i="1"/>
  <c r="F81" i="1" l="1"/>
  <c r="E81" i="1"/>
  <c r="A82" i="1"/>
  <c r="D81" i="1"/>
  <c r="C81" i="1"/>
  <c r="H81" i="1"/>
  <c r="I81" i="1" s="1"/>
  <c r="G81" i="1"/>
  <c r="B81" i="1"/>
  <c r="E82" i="1" l="1"/>
  <c r="D82" i="1"/>
  <c r="A83" i="1"/>
  <c r="H82" i="1"/>
  <c r="I82" i="1" s="1"/>
  <c r="F82" i="1"/>
  <c r="G82" i="1"/>
  <c r="C82" i="1"/>
  <c r="B82" i="1"/>
  <c r="D83" i="1" l="1"/>
  <c r="C83" i="1"/>
  <c r="B83" i="1"/>
  <c r="F83" i="1"/>
  <c r="E83" i="1"/>
  <c r="A84" i="1"/>
  <c r="H83" i="1"/>
  <c r="I83" i="1" s="1"/>
  <c r="G83" i="1"/>
  <c r="C84" i="1" l="1"/>
  <c r="A85" i="1"/>
  <c r="B84" i="1"/>
  <c r="E84" i="1"/>
  <c r="D84" i="1"/>
  <c r="G84" i="1"/>
  <c r="F84" i="1"/>
  <c r="H84" i="1"/>
  <c r="I84" i="1" s="1"/>
  <c r="A86" i="1" l="1"/>
  <c r="B85" i="1"/>
  <c r="F85" i="1"/>
  <c r="E85" i="1"/>
  <c r="G85" i="1"/>
  <c r="H85" i="1"/>
  <c r="I85" i="1" s="1"/>
  <c r="D85" i="1"/>
  <c r="C85" i="1"/>
  <c r="H86" i="1" l="1"/>
  <c r="I86" i="1" s="1"/>
  <c r="G86" i="1"/>
  <c r="F86" i="1"/>
  <c r="C86" i="1"/>
  <c r="B86" i="1"/>
  <c r="A87" i="1"/>
  <c r="E86" i="1"/>
  <c r="D86" i="1"/>
  <c r="H87" i="1" l="1"/>
  <c r="I87" i="1" s="1"/>
  <c r="G87" i="1"/>
  <c r="A88" i="1"/>
  <c r="D87" i="1"/>
  <c r="F87" i="1"/>
  <c r="C87" i="1"/>
  <c r="E87" i="1"/>
  <c r="B87" i="1"/>
  <c r="G88" i="1" l="1"/>
  <c r="F88" i="1"/>
  <c r="A89" i="1"/>
  <c r="E88" i="1"/>
  <c r="B88" i="1"/>
  <c r="H88" i="1"/>
  <c r="I88" i="1" s="1"/>
  <c r="D88" i="1"/>
  <c r="C88" i="1"/>
  <c r="F89" i="1" l="1"/>
  <c r="E89" i="1"/>
  <c r="B89" i="1"/>
  <c r="H89" i="1"/>
  <c r="I89" i="1" s="1"/>
  <c r="G89" i="1"/>
  <c r="C89" i="1"/>
  <c r="A90" i="1"/>
  <c r="D89" i="1"/>
  <c r="E90" i="1" l="1"/>
  <c r="D90" i="1"/>
  <c r="C90" i="1"/>
  <c r="B90" i="1"/>
  <c r="A91" i="1"/>
  <c r="H90" i="1"/>
  <c r="I90" i="1" s="1"/>
  <c r="G90" i="1"/>
  <c r="F90" i="1"/>
  <c r="D91" i="1" l="1"/>
  <c r="C91" i="1"/>
  <c r="F91" i="1"/>
  <c r="E91" i="1"/>
  <c r="A92" i="1"/>
  <c r="H91" i="1"/>
  <c r="I91" i="1" s="1"/>
  <c r="G91" i="1"/>
  <c r="B91" i="1"/>
  <c r="C92" i="1" l="1"/>
  <c r="A93" i="1"/>
  <c r="B92" i="1"/>
  <c r="G92" i="1"/>
  <c r="F92" i="1"/>
  <c r="H92" i="1"/>
  <c r="I92" i="1" s="1"/>
  <c r="E92" i="1"/>
  <c r="D92" i="1"/>
  <c r="A94" i="1" l="1"/>
  <c r="B93" i="1"/>
  <c r="H93" i="1"/>
  <c r="I93" i="1" s="1"/>
  <c r="G93" i="1"/>
  <c r="D93" i="1"/>
  <c r="F93" i="1"/>
  <c r="E93" i="1"/>
  <c r="C93" i="1"/>
  <c r="H94" i="1" l="1"/>
  <c r="I94" i="1" s="1"/>
  <c r="A95" i="1"/>
  <c r="E94" i="1"/>
  <c r="G94" i="1"/>
  <c r="F94" i="1"/>
  <c r="D94" i="1"/>
  <c r="C94" i="1"/>
  <c r="B94" i="1"/>
  <c r="H95" i="1" l="1"/>
  <c r="I95" i="1" s="1"/>
  <c r="G95" i="1"/>
  <c r="B95" i="1"/>
  <c r="F95" i="1"/>
  <c r="E95" i="1"/>
  <c r="D95" i="1"/>
  <c r="A96" i="1"/>
  <c r="C95" i="1"/>
  <c r="G96" i="1" l="1"/>
  <c r="F96" i="1"/>
  <c r="C96" i="1"/>
  <c r="B96" i="1"/>
  <c r="H96" i="1"/>
  <c r="I96" i="1" s="1"/>
  <c r="A97" i="1"/>
  <c r="E96" i="1"/>
  <c r="D96" i="1"/>
  <c r="F97" i="1" l="1"/>
  <c r="E97" i="1"/>
  <c r="D97" i="1"/>
  <c r="C97" i="1"/>
  <c r="A98" i="1"/>
  <c r="G97" i="1"/>
  <c r="B97" i="1"/>
  <c r="H97" i="1"/>
  <c r="I97" i="1" s="1"/>
  <c r="E98" i="1" l="1"/>
  <c r="D98" i="1"/>
  <c r="G98" i="1"/>
  <c r="F98" i="1"/>
  <c r="A99" i="1"/>
  <c r="H98" i="1"/>
  <c r="I98" i="1" s="1"/>
  <c r="C98" i="1"/>
  <c r="B98" i="1"/>
  <c r="D99" i="1" l="1"/>
  <c r="C99" i="1"/>
  <c r="H99" i="1"/>
  <c r="I99" i="1" s="1"/>
  <c r="G99" i="1"/>
  <c r="B99" i="1"/>
  <c r="E99" i="1"/>
  <c r="A100" i="1"/>
  <c r="F99" i="1"/>
  <c r="C100" i="1" l="1"/>
  <c r="A101" i="1"/>
  <c r="B100" i="1"/>
  <c r="H100" i="1"/>
  <c r="I100" i="1" s="1"/>
  <c r="E100" i="1"/>
  <c r="F100" i="1"/>
  <c r="G100" i="1"/>
  <c r="D100" i="1"/>
  <c r="A102" i="1" l="1"/>
  <c r="B101" i="1"/>
  <c r="F101" i="1"/>
  <c r="D101" i="1"/>
  <c r="C101" i="1"/>
  <c r="H101" i="1"/>
  <c r="I101" i="1" s="1"/>
  <c r="G101" i="1"/>
  <c r="E101" i="1"/>
  <c r="H102" i="1" l="1"/>
  <c r="I102" i="1" s="1"/>
  <c r="C102" i="1"/>
  <c r="B102" i="1"/>
  <c r="G102" i="1"/>
  <c r="A103" i="1"/>
  <c r="E102" i="1"/>
  <c r="F102" i="1"/>
  <c r="D102" i="1"/>
  <c r="H103" i="1" l="1"/>
  <c r="I103" i="1" s="1"/>
  <c r="G103" i="1"/>
  <c r="D103" i="1"/>
  <c r="C103" i="1"/>
  <c r="A104" i="1"/>
  <c r="B103" i="1"/>
  <c r="F103" i="1"/>
  <c r="E103" i="1"/>
  <c r="G104" i="1" l="1"/>
  <c r="F104" i="1"/>
  <c r="E104" i="1"/>
  <c r="D104" i="1"/>
  <c r="A105" i="1"/>
  <c r="C104" i="1"/>
  <c r="H104" i="1"/>
  <c r="I104" i="1" s="1"/>
  <c r="B104" i="1"/>
  <c r="F105" i="1" l="1"/>
  <c r="E105" i="1"/>
  <c r="H105" i="1"/>
  <c r="I105" i="1" s="1"/>
  <c r="G105" i="1"/>
  <c r="B105" i="1"/>
  <c r="A106" i="1"/>
  <c r="D105" i="1"/>
  <c r="C105" i="1"/>
  <c r="E106" i="1" l="1"/>
  <c r="D106" i="1"/>
  <c r="H106" i="1"/>
  <c r="I106" i="1" s="1"/>
  <c r="C106" i="1"/>
  <c r="A107" i="1"/>
  <c r="G106" i="1"/>
  <c r="B106" i="1"/>
  <c r="F106" i="1"/>
  <c r="D107" i="1" l="1"/>
  <c r="C107" i="1"/>
  <c r="A108" i="1"/>
  <c r="F107" i="1"/>
  <c r="B107" i="1"/>
  <c r="H107" i="1"/>
  <c r="I107" i="1" s="1"/>
  <c r="G107" i="1"/>
  <c r="E107" i="1"/>
  <c r="C108" i="1" l="1"/>
  <c r="A109" i="1"/>
  <c r="B108" i="1"/>
  <c r="G108" i="1"/>
  <c r="H108" i="1"/>
  <c r="I108" i="1" s="1"/>
  <c r="F108" i="1"/>
  <c r="D108" i="1"/>
  <c r="E108" i="1"/>
  <c r="A110" i="1" l="1"/>
  <c r="B109" i="1"/>
  <c r="D109" i="1"/>
  <c r="C109" i="1"/>
  <c r="H109" i="1"/>
  <c r="I109" i="1" s="1"/>
  <c r="G109" i="1"/>
  <c r="F109" i="1"/>
  <c r="E109" i="1"/>
  <c r="H110" i="1" l="1"/>
  <c r="I110" i="1" s="1"/>
  <c r="E110" i="1"/>
  <c r="D110" i="1"/>
  <c r="G110" i="1"/>
  <c r="F110" i="1"/>
  <c r="B110" i="1"/>
  <c r="A111" i="1"/>
  <c r="C110" i="1"/>
  <c r="H111" i="1" l="1"/>
  <c r="I111" i="1" s="1"/>
  <c r="G111" i="1"/>
  <c r="F111" i="1"/>
  <c r="E111" i="1"/>
  <c r="B111" i="1"/>
  <c r="A112" i="1"/>
  <c r="D111" i="1"/>
  <c r="C111" i="1"/>
  <c r="G112" i="1" l="1"/>
  <c r="F112" i="1"/>
  <c r="H112" i="1"/>
  <c r="I112" i="1" s="1"/>
  <c r="C112" i="1"/>
  <c r="E112" i="1"/>
  <c r="D112" i="1"/>
  <c r="A113" i="1"/>
  <c r="B112" i="1"/>
  <c r="F113" i="1" l="1"/>
  <c r="E113" i="1"/>
  <c r="A114" i="1"/>
  <c r="D113" i="1"/>
  <c r="H113" i="1"/>
  <c r="I113" i="1" s="1"/>
  <c r="B113" i="1"/>
  <c r="G113" i="1"/>
  <c r="C113" i="1"/>
  <c r="E114" i="1" l="1"/>
  <c r="D114" i="1"/>
  <c r="A115" i="1"/>
  <c r="G114" i="1"/>
  <c r="F114" i="1"/>
  <c r="C114" i="1"/>
  <c r="H114" i="1"/>
  <c r="I114" i="1" s="1"/>
  <c r="B114" i="1"/>
  <c r="D115" i="1" l="1"/>
  <c r="C115" i="1"/>
  <c r="B115" i="1"/>
  <c r="H115" i="1"/>
  <c r="I115" i="1" s="1"/>
  <c r="A116" i="1"/>
  <c r="G115" i="1"/>
  <c r="F115" i="1"/>
  <c r="E115" i="1"/>
  <c r="C116" i="1" l="1"/>
  <c r="A117" i="1"/>
  <c r="B116" i="1"/>
  <c r="E116" i="1"/>
  <c r="D116" i="1"/>
  <c r="F116" i="1"/>
  <c r="H116" i="1"/>
  <c r="I116" i="1" s="1"/>
  <c r="G116" i="1"/>
  <c r="A118" i="1" l="1"/>
  <c r="B117" i="1"/>
  <c r="F117" i="1"/>
  <c r="E117" i="1"/>
  <c r="G117" i="1"/>
  <c r="H117" i="1"/>
  <c r="I117" i="1" s="1"/>
  <c r="D117" i="1"/>
  <c r="C117" i="1"/>
  <c r="H118" i="1" l="1"/>
  <c r="I118" i="1" s="1"/>
  <c r="G118" i="1"/>
  <c r="F118" i="1"/>
  <c r="C118" i="1"/>
  <c r="D118" i="1"/>
  <c r="B118" i="1"/>
  <c r="A119" i="1"/>
  <c r="E118" i="1"/>
  <c r="H119" i="1" l="1"/>
  <c r="I119" i="1" s="1"/>
  <c r="G119" i="1"/>
  <c r="A120" i="1"/>
  <c r="D119" i="1"/>
  <c r="E119" i="1"/>
  <c r="B119" i="1"/>
  <c r="F119" i="1"/>
  <c r="C119" i="1"/>
  <c r="G120" i="1" l="1"/>
  <c r="F120" i="1"/>
  <c r="A121" i="1"/>
  <c r="E120" i="1"/>
  <c r="C120" i="1"/>
  <c r="B120" i="1"/>
  <c r="H120" i="1"/>
  <c r="I120" i="1" s="1"/>
  <c r="D120" i="1"/>
  <c r="F121" i="1" l="1"/>
  <c r="E121" i="1"/>
  <c r="B121" i="1"/>
  <c r="H121" i="1"/>
  <c r="I121" i="1" s="1"/>
  <c r="A122" i="1"/>
  <c r="D121" i="1"/>
  <c r="G121" i="1"/>
  <c r="C121" i="1"/>
  <c r="E122" i="1" l="1"/>
  <c r="D122" i="1"/>
  <c r="C122" i="1"/>
  <c r="B122" i="1"/>
  <c r="F122" i="1"/>
  <c r="A123" i="1"/>
  <c r="H122" i="1"/>
  <c r="I122" i="1" s="1"/>
  <c r="G122" i="1"/>
  <c r="D123" i="1" l="1"/>
  <c r="C123" i="1"/>
  <c r="F123" i="1"/>
  <c r="E123" i="1"/>
  <c r="A124" i="1"/>
  <c r="H123" i="1"/>
  <c r="I123" i="1" s="1"/>
  <c r="G123" i="1"/>
  <c r="B123" i="1"/>
  <c r="C124" i="1" l="1"/>
  <c r="D124" i="1"/>
  <c r="B124" i="1"/>
  <c r="H124" i="1"/>
  <c r="I124" i="1" s="1"/>
  <c r="G124" i="1"/>
  <c r="A125" i="1"/>
  <c r="F124" i="1"/>
  <c r="E124" i="1"/>
  <c r="A126" i="1" l="1"/>
  <c r="B125" i="1"/>
  <c r="D125" i="1"/>
  <c r="C125" i="1"/>
  <c r="F125" i="1"/>
  <c r="H125" i="1"/>
  <c r="I125" i="1" s="1"/>
  <c r="G125" i="1"/>
  <c r="E125" i="1"/>
  <c r="D126" i="1" l="1"/>
  <c r="C126" i="1"/>
  <c r="B126" i="1"/>
  <c r="H126" i="1"/>
  <c r="I126" i="1" s="1"/>
  <c r="E126" i="1"/>
  <c r="A127" i="1"/>
  <c r="G126" i="1"/>
  <c r="F126" i="1"/>
  <c r="H127" i="1" l="1"/>
  <c r="I127" i="1" s="1"/>
  <c r="D127" i="1"/>
  <c r="C127" i="1"/>
  <c r="F127" i="1"/>
  <c r="E127" i="1"/>
  <c r="A128" i="1"/>
  <c r="G127" i="1"/>
  <c r="B127" i="1"/>
  <c r="G128" i="1" l="1"/>
  <c r="D128" i="1"/>
  <c r="C128" i="1"/>
  <c r="H128" i="1"/>
  <c r="I128" i="1" s="1"/>
  <c r="B128" i="1"/>
  <c r="E128" i="1"/>
  <c r="A129" i="1"/>
  <c r="F128" i="1"/>
  <c r="F129" i="1" l="1"/>
  <c r="D129" i="1"/>
  <c r="C129" i="1"/>
  <c r="A130" i="1"/>
  <c r="G129" i="1"/>
  <c r="H129" i="1"/>
  <c r="I129" i="1" s="1"/>
  <c r="E129" i="1"/>
  <c r="B129" i="1"/>
  <c r="E130" i="1" l="1"/>
  <c r="D130" i="1"/>
  <c r="C130" i="1"/>
  <c r="B130" i="1"/>
  <c r="G130" i="1"/>
  <c r="F130" i="1"/>
  <c r="A131" i="1"/>
  <c r="H130" i="1"/>
  <c r="I130" i="1" s="1"/>
  <c r="D131" i="1" l="1"/>
  <c r="E131" i="1"/>
  <c r="C131" i="1"/>
  <c r="H131" i="1"/>
  <c r="I131" i="1" s="1"/>
  <c r="G131" i="1"/>
  <c r="F131" i="1"/>
  <c r="A132" i="1"/>
  <c r="B131" i="1"/>
  <c r="C132" i="1" l="1"/>
  <c r="E132" i="1"/>
  <c r="D132" i="1"/>
  <c r="H132" i="1"/>
  <c r="I132" i="1" s="1"/>
  <c r="A133" i="1"/>
  <c r="F132" i="1"/>
  <c r="G132" i="1"/>
  <c r="B132" i="1"/>
  <c r="A134" i="1" l="1"/>
  <c r="B133" i="1"/>
  <c r="E133" i="1"/>
  <c r="D133" i="1"/>
  <c r="H133" i="1"/>
  <c r="I133" i="1" s="1"/>
  <c r="C133" i="1"/>
  <c r="G133" i="1"/>
  <c r="F133" i="1"/>
  <c r="E134" i="1" l="1"/>
  <c r="D134" i="1"/>
  <c r="H134" i="1"/>
  <c r="I134" i="1" s="1"/>
  <c r="A135" i="1"/>
  <c r="G134" i="1"/>
  <c r="B134" i="1"/>
  <c r="F134" i="1"/>
  <c r="C134" i="1"/>
  <c r="H135" i="1" l="1"/>
  <c r="I135" i="1" s="1"/>
  <c r="E135" i="1"/>
  <c r="D135" i="1"/>
  <c r="G135" i="1"/>
  <c r="F135" i="1"/>
  <c r="C135" i="1"/>
  <c r="B135" i="1"/>
  <c r="A136" i="1"/>
  <c r="G136" i="1" l="1"/>
  <c r="E136" i="1"/>
  <c r="D136" i="1"/>
  <c r="F136" i="1"/>
  <c r="C136" i="1"/>
  <c r="A137" i="1"/>
  <c r="H136" i="1"/>
  <c r="I136" i="1" s="1"/>
  <c r="B136" i="1"/>
  <c r="F137" i="1" l="1"/>
  <c r="E137" i="1"/>
  <c r="D137" i="1"/>
  <c r="A138" i="1"/>
  <c r="C137" i="1"/>
  <c r="H137" i="1"/>
  <c r="I137" i="1" s="1"/>
  <c r="G137" i="1"/>
  <c r="B137" i="1"/>
  <c r="E138" i="1" l="1"/>
  <c r="F138" i="1"/>
  <c r="D138" i="1"/>
  <c r="B138" i="1"/>
  <c r="A139" i="1"/>
  <c r="C138" i="1"/>
  <c r="H138" i="1"/>
  <c r="I138" i="1" s="1"/>
  <c r="G138" i="1"/>
  <c r="D139" i="1" l="1"/>
  <c r="F139" i="1"/>
  <c r="E139" i="1"/>
  <c r="H139" i="1"/>
  <c r="I139" i="1" s="1"/>
  <c r="G139" i="1"/>
  <c r="A140" i="1"/>
  <c r="C139" i="1"/>
  <c r="B139" i="1"/>
  <c r="C140" i="1" l="1"/>
  <c r="F140" i="1"/>
  <c r="E140" i="1"/>
  <c r="G140" i="1"/>
  <c r="H140" i="1"/>
  <c r="I140" i="1" s="1"/>
  <c r="D140" i="1"/>
  <c r="B140" i="1"/>
  <c r="A141" i="1"/>
  <c r="A142" i="1" l="1"/>
  <c r="B141" i="1"/>
  <c r="F141" i="1"/>
  <c r="E141" i="1"/>
  <c r="D141" i="1"/>
  <c r="C141" i="1"/>
  <c r="H141" i="1"/>
  <c r="I141" i="1" s="1"/>
  <c r="G141" i="1"/>
  <c r="F142" i="1" l="1"/>
  <c r="E142" i="1"/>
  <c r="A143" i="1"/>
  <c r="H142" i="1"/>
  <c r="I142" i="1" s="1"/>
  <c r="C142" i="1"/>
  <c r="G142" i="1"/>
  <c r="D142" i="1"/>
  <c r="B142" i="1"/>
  <c r="H143" i="1" l="1"/>
  <c r="I143" i="1" s="1"/>
  <c r="G143" i="1"/>
  <c r="F143" i="1"/>
  <c r="E143" i="1"/>
  <c r="B143" i="1"/>
  <c r="A144" i="1"/>
  <c r="D143" i="1"/>
  <c r="C143" i="1"/>
  <c r="G144" i="1" l="1"/>
  <c r="F144" i="1"/>
  <c r="H144" i="1"/>
  <c r="I144" i="1" s="1"/>
  <c r="B144" i="1"/>
  <c r="A145" i="1"/>
  <c r="E144" i="1"/>
  <c r="D144" i="1"/>
  <c r="C144" i="1"/>
  <c r="F145" i="1" l="1"/>
  <c r="E145" i="1"/>
  <c r="A146" i="1"/>
  <c r="C145" i="1"/>
  <c r="H145" i="1"/>
  <c r="I145" i="1" s="1"/>
  <c r="G145" i="1"/>
  <c r="D145" i="1"/>
  <c r="B145" i="1"/>
  <c r="E146" i="1" l="1"/>
  <c r="D146" i="1"/>
  <c r="A147" i="1"/>
  <c r="F146" i="1"/>
  <c r="H146" i="1"/>
  <c r="I146" i="1" s="1"/>
  <c r="G146" i="1"/>
  <c r="C146" i="1"/>
  <c r="B146" i="1"/>
  <c r="D147" i="1" l="1"/>
  <c r="C147" i="1"/>
  <c r="B147" i="1"/>
  <c r="G147" i="1"/>
  <c r="H147" i="1"/>
  <c r="I147" i="1" s="1"/>
  <c r="A148" i="1"/>
  <c r="F147" i="1"/>
  <c r="E147" i="1"/>
  <c r="C148" i="1" l="1"/>
  <c r="A149" i="1"/>
  <c r="B148" i="1"/>
  <c r="E148" i="1"/>
  <c r="D148" i="1"/>
  <c r="H148" i="1"/>
  <c r="I148" i="1" s="1"/>
  <c r="G148" i="1"/>
  <c r="F148" i="1"/>
  <c r="A150" i="1" l="1"/>
  <c r="B149" i="1"/>
  <c r="F149" i="1"/>
  <c r="E149" i="1"/>
  <c r="G149" i="1"/>
  <c r="D149" i="1"/>
  <c r="C149" i="1"/>
  <c r="H149" i="1"/>
  <c r="I149" i="1" s="1"/>
  <c r="H150" i="1" l="1"/>
  <c r="I150" i="1" s="1"/>
  <c r="G150" i="1"/>
  <c r="F150" i="1"/>
  <c r="B150" i="1"/>
  <c r="E150" i="1"/>
  <c r="D150" i="1"/>
  <c r="A151" i="1"/>
  <c r="C150" i="1"/>
  <c r="H151" i="1" l="1"/>
  <c r="I151" i="1" s="1"/>
  <c r="G151" i="1"/>
  <c r="A152" i="1"/>
  <c r="C151" i="1"/>
  <c r="E151" i="1"/>
  <c r="F151" i="1"/>
  <c r="D151" i="1"/>
  <c r="B151" i="1"/>
  <c r="G152" i="1" l="1"/>
  <c r="F152" i="1"/>
  <c r="A153" i="1"/>
  <c r="D152" i="1"/>
  <c r="E152" i="1"/>
  <c r="C152" i="1"/>
  <c r="H152" i="1"/>
  <c r="I152" i="1" s="1"/>
  <c r="B152" i="1"/>
  <c r="F153" i="1" l="1"/>
  <c r="E153" i="1"/>
  <c r="B153" i="1"/>
  <c r="G153" i="1"/>
  <c r="A154" i="1"/>
  <c r="D153" i="1"/>
  <c r="H153" i="1"/>
  <c r="I153" i="1" s="1"/>
  <c r="C153" i="1"/>
  <c r="E154" i="1" l="1"/>
  <c r="D154" i="1"/>
  <c r="C154" i="1"/>
  <c r="B154" i="1"/>
  <c r="H154" i="1"/>
  <c r="I154" i="1" s="1"/>
  <c r="F154" i="1"/>
  <c r="A155" i="1"/>
  <c r="G154" i="1"/>
  <c r="D155" i="1" l="1"/>
  <c r="C155" i="1"/>
  <c r="F155" i="1"/>
  <c r="E155" i="1"/>
  <c r="A156" i="1"/>
  <c r="B155" i="1"/>
  <c r="G155" i="1"/>
  <c r="H155" i="1"/>
  <c r="I155" i="1" s="1"/>
  <c r="C156" i="1" l="1"/>
  <c r="A157" i="1"/>
  <c r="B156" i="1"/>
  <c r="G156" i="1"/>
  <c r="F156" i="1"/>
  <c r="D156" i="1"/>
  <c r="H156" i="1"/>
  <c r="I156" i="1" s="1"/>
  <c r="E156" i="1"/>
  <c r="A158" i="1" l="1"/>
  <c r="B157" i="1"/>
  <c r="H157" i="1"/>
  <c r="I157" i="1" s="1"/>
  <c r="G157" i="1"/>
  <c r="C157" i="1"/>
  <c r="D157" i="1"/>
  <c r="F157" i="1"/>
  <c r="E157" i="1"/>
  <c r="H158" i="1" l="1"/>
  <c r="I158" i="1" s="1"/>
  <c r="A159" i="1"/>
  <c r="D158" i="1"/>
  <c r="C158" i="1"/>
  <c r="B158" i="1"/>
  <c r="F158" i="1"/>
  <c r="E158" i="1"/>
  <c r="G158" i="1"/>
  <c r="H159" i="1" l="1"/>
  <c r="I159" i="1" s="1"/>
  <c r="G159" i="1"/>
  <c r="B159" i="1"/>
  <c r="E159" i="1"/>
  <c r="A160" i="1"/>
  <c r="C159" i="1"/>
  <c r="F159" i="1"/>
  <c r="D159" i="1"/>
  <c r="G160" i="1" l="1"/>
  <c r="F160" i="1"/>
  <c r="C160" i="1"/>
  <c r="B160" i="1"/>
  <c r="H160" i="1"/>
  <c r="I160" i="1" s="1"/>
  <c r="A161" i="1"/>
  <c r="E160" i="1"/>
  <c r="D160" i="1"/>
  <c r="F161" i="1" l="1"/>
  <c r="E161" i="1"/>
  <c r="D161" i="1"/>
  <c r="C161" i="1"/>
  <c r="A162" i="1"/>
  <c r="H161" i="1"/>
  <c r="I161" i="1" s="1"/>
  <c r="G161" i="1"/>
  <c r="B161" i="1"/>
  <c r="E162" i="1" l="1"/>
  <c r="D162" i="1"/>
  <c r="G162" i="1"/>
  <c r="F162" i="1"/>
  <c r="A163" i="1"/>
  <c r="H162" i="1"/>
  <c r="I162" i="1" s="1"/>
  <c r="C162" i="1"/>
  <c r="B162" i="1"/>
  <c r="D163" i="1" l="1"/>
  <c r="C163" i="1"/>
  <c r="H163" i="1"/>
  <c r="I163" i="1" s="1"/>
  <c r="G163" i="1"/>
  <c r="F163" i="1"/>
  <c r="E163" i="1"/>
  <c r="B163" i="1"/>
  <c r="A164" i="1"/>
  <c r="C164" i="1" l="1"/>
  <c r="A165" i="1"/>
  <c r="B164" i="1"/>
  <c r="H164" i="1"/>
  <c r="I164" i="1" s="1"/>
  <c r="D164" i="1"/>
  <c r="G164" i="1"/>
  <c r="F164" i="1"/>
  <c r="E164" i="1"/>
  <c r="A166" i="1" l="1"/>
  <c r="B165" i="1"/>
  <c r="E165" i="1"/>
  <c r="G165" i="1"/>
  <c r="F165" i="1"/>
  <c r="D165" i="1"/>
  <c r="C165" i="1"/>
  <c r="H165" i="1"/>
  <c r="I165" i="1" s="1"/>
  <c r="H166" i="1" l="1"/>
  <c r="I166" i="1" s="1"/>
  <c r="C166" i="1"/>
  <c r="B166" i="1"/>
  <c r="F166" i="1"/>
  <c r="A167" i="1"/>
  <c r="G166" i="1"/>
  <c r="E166" i="1"/>
  <c r="D166" i="1"/>
  <c r="H167" i="1" l="1"/>
  <c r="I167" i="1" s="1"/>
  <c r="G167" i="1"/>
  <c r="D167" i="1"/>
  <c r="C167" i="1"/>
  <c r="F167" i="1"/>
  <c r="E167" i="1"/>
  <c r="B167" i="1"/>
  <c r="A168" i="1"/>
  <c r="G168" i="1" l="1"/>
  <c r="F168" i="1"/>
  <c r="E168" i="1"/>
  <c r="D168" i="1"/>
  <c r="A169" i="1"/>
  <c r="H168" i="1"/>
  <c r="I168" i="1" s="1"/>
  <c r="C168" i="1"/>
  <c r="B168" i="1"/>
  <c r="F169" i="1" l="1"/>
  <c r="E169" i="1"/>
  <c r="H169" i="1"/>
  <c r="I169" i="1" s="1"/>
  <c r="G169" i="1"/>
  <c r="D169" i="1"/>
  <c r="C169" i="1"/>
  <c r="B169" i="1"/>
  <c r="A170" i="1"/>
  <c r="H170" i="1" l="1"/>
  <c r="I170" i="1" s="1"/>
  <c r="E170" i="1"/>
  <c r="D170" i="1"/>
  <c r="A171" i="1"/>
  <c r="B170" i="1"/>
  <c r="G170" i="1"/>
  <c r="F170" i="1"/>
  <c r="C170" i="1"/>
  <c r="G171" i="1" l="1"/>
  <c r="E171" i="1"/>
  <c r="D171" i="1"/>
  <c r="F171" i="1"/>
  <c r="H171" i="1"/>
  <c r="I171" i="1" s="1"/>
  <c r="C171" i="1"/>
  <c r="B171" i="1"/>
  <c r="A172" i="1"/>
  <c r="F172" i="1" l="1"/>
  <c r="E172" i="1"/>
  <c r="D172" i="1"/>
  <c r="C172" i="1"/>
  <c r="B172" i="1"/>
  <c r="A173" i="1"/>
  <c r="H172" i="1"/>
  <c r="I172" i="1" s="1"/>
  <c r="G172" i="1"/>
  <c r="E173" i="1" l="1"/>
  <c r="F173" i="1"/>
  <c r="D173" i="1"/>
  <c r="H173" i="1"/>
  <c r="I173" i="1" s="1"/>
  <c r="G173" i="1"/>
  <c r="C173" i="1"/>
  <c r="B173" i="1"/>
  <c r="A174" i="1"/>
  <c r="D174" i="1" l="1"/>
  <c r="F174" i="1"/>
  <c r="E174" i="1"/>
  <c r="A175" i="1"/>
  <c r="B174" i="1"/>
  <c r="H174" i="1"/>
  <c r="I174" i="1" s="1"/>
  <c r="G174" i="1"/>
  <c r="C174" i="1"/>
  <c r="C175" i="1" l="1"/>
  <c r="F175" i="1"/>
  <c r="E175" i="1"/>
  <c r="G175" i="1"/>
  <c r="H175" i="1"/>
  <c r="I175" i="1" s="1"/>
  <c r="D175" i="1"/>
  <c r="B175" i="1"/>
  <c r="A176" i="1"/>
  <c r="A177" i="1" l="1"/>
  <c r="B176" i="1"/>
  <c r="F176" i="1"/>
  <c r="E176" i="1"/>
  <c r="D176" i="1"/>
  <c r="C176" i="1"/>
  <c r="H176" i="1"/>
  <c r="I176" i="1" s="1"/>
  <c r="G176" i="1"/>
  <c r="F177" i="1" l="1"/>
  <c r="E177" i="1"/>
  <c r="H177" i="1"/>
  <c r="I177" i="1" s="1"/>
  <c r="G177" i="1"/>
  <c r="A178" i="1"/>
  <c r="D177" i="1"/>
  <c r="C177" i="1"/>
  <c r="B177" i="1"/>
  <c r="H178" i="1" l="1"/>
  <c r="I178" i="1" s="1"/>
  <c r="F178" i="1"/>
  <c r="E178" i="1"/>
  <c r="A179" i="1"/>
  <c r="C178" i="1"/>
  <c r="B178" i="1"/>
  <c r="G178" i="1"/>
  <c r="D178" i="1"/>
  <c r="G179" i="1" l="1"/>
  <c r="F179" i="1"/>
  <c r="E179" i="1"/>
  <c r="B179" i="1"/>
  <c r="H179" i="1"/>
  <c r="I179" i="1" s="1"/>
  <c r="A180" i="1"/>
  <c r="D179" i="1"/>
  <c r="C179" i="1"/>
  <c r="F180" i="1" l="1"/>
  <c r="G180" i="1"/>
  <c r="E180" i="1"/>
  <c r="D180" i="1"/>
  <c r="C180" i="1"/>
  <c r="A181" i="1"/>
  <c r="B180" i="1"/>
  <c r="H180" i="1"/>
  <c r="I180" i="1" s="1"/>
  <c r="E181" i="1" l="1"/>
  <c r="G181" i="1"/>
  <c r="F181" i="1"/>
  <c r="H181" i="1"/>
  <c r="I181" i="1" s="1"/>
  <c r="A182" i="1"/>
  <c r="D181" i="1"/>
  <c r="C181" i="1"/>
  <c r="B181" i="1"/>
  <c r="D182" i="1" l="1"/>
  <c r="G182" i="1"/>
  <c r="F182" i="1"/>
  <c r="A183" i="1"/>
  <c r="C182" i="1"/>
  <c r="E182" i="1"/>
  <c r="B182" i="1"/>
  <c r="H182" i="1"/>
  <c r="I182" i="1" s="1"/>
  <c r="C183" i="1" l="1"/>
  <c r="G183" i="1"/>
  <c r="F183" i="1"/>
  <c r="B183" i="1"/>
  <c r="H183" i="1"/>
  <c r="I183" i="1" s="1"/>
  <c r="A184" i="1"/>
  <c r="E183" i="1"/>
  <c r="D183" i="1"/>
  <c r="A185" i="1" l="1"/>
  <c r="B184" i="1"/>
  <c r="G184" i="1"/>
  <c r="F184" i="1"/>
  <c r="E184" i="1"/>
  <c r="D184" i="1"/>
  <c r="H184" i="1"/>
  <c r="I184" i="1" s="1"/>
  <c r="C184" i="1"/>
  <c r="G185" i="1" l="1"/>
  <c r="F185" i="1"/>
  <c r="A186" i="1"/>
  <c r="H185" i="1"/>
  <c r="I185" i="1" s="1"/>
  <c r="B185" i="1"/>
  <c r="E185" i="1"/>
  <c r="D185" i="1"/>
  <c r="C185" i="1"/>
  <c r="H186" i="1" l="1"/>
  <c r="I186" i="1" s="1"/>
  <c r="G186" i="1"/>
  <c r="F186" i="1"/>
  <c r="D186" i="1"/>
  <c r="E186" i="1"/>
  <c r="C186" i="1"/>
  <c r="B186" i="1"/>
  <c r="A187" i="1"/>
  <c r="G187" i="1" l="1"/>
  <c r="H187" i="1"/>
  <c r="I187" i="1" s="1"/>
  <c r="F187" i="1"/>
  <c r="C187" i="1"/>
  <c r="B187" i="1"/>
  <c r="A188" i="1"/>
  <c r="E187" i="1"/>
  <c r="D187" i="1"/>
  <c r="F188" i="1" l="1"/>
  <c r="H188" i="1"/>
  <c r="I188" i="1" s="1"/>
  <c r="G188" i="1"/>
  <c r="E188" i="1"/>
  <c r="D188" i="1"/>
  <c r="A189" i="1"/>
  <c r="C188" i="1"/>
  <c r="B188" i="1"/>
  <c r="E189" i="1" l="1"/>
  <c r="H189" i="1"/>
  <c r="I189" i="1" s="1"/>
  <c r="G189" i="1"/>
  <c r="A190" i="1"/>
  <c r="B189" i="1"/>
  <c r="F189" i="1"/>
  <c r="D189" i="1"/>
  <c r="C189" i="1"/>
  <c r="D190" i="1" l="1"/>
  <c r="H190" i="1"/>
  <c r="I190" i="1" s="1"/>
  <c r="G190" i="1"/>
  <c r="E190" i="1"/>
  <c r="A191" i="1"/>
  <c r="F190" i="1"/>
  <c r="C190" i="1"/>
  <c r="B190" i="1"/>
  <c r="C191" i="1" l="1"/>
  <c r="H191" i="1"/>
  <c r="I191" i="1" s="1"/>
  <c r="G191" i="1"/>
  <c r="D191" i="1"/>
  <c r="B191" i="1"/>
  <c r="A192" i="1"/>
  <c r="F191" i="1"/>
  <c r="E191" i="1"/>
  <c r="A193" i="1" l="1"/>
  <c r="B192" i="1"/>
  <c r="H192" i="1"/>
  <c r="I192" i="1" s="1"/>
  <c r="G192" i="1"/>
  <c r="F192" i="1"/>
  <c r="E192" i="1"/>
  <c r="D192" i="1"/>
  <c r="C192" i="1"/>
  <c r="H193" i="1" l="1"/>
  <c r="I193" i="1" s="1"/>
  <c r="G193" i="1"/>
  <c r="A194" i="1"/>
  <c r="C193" i="1"/>
  <c r="D193" i="1"/>
  <c r="B193" i="1"/>
  <c r="F193" i="1"/>
  <c r="E193" i="1"/>
  <c r="H194" i="1" l="1"/>
  <c r="I194" i="1" s="1"/>
  <c r="G194" i="1"/>
  <c r="B194" i="1"/>
  <c r="E194" i="1"/>
  <c r="A195" i="1"/>
  <c r="F194" i="1"/>
  <c r="D194" i="1"/>
  <c r="C194" i="1"/>
  <c r="G195" i="1" l="1"/>
  <c r="H195" i="1"/>
  <c r="I195" i="1" s="1"/>
  <c r="D195" i="1"/>
  <c r="C195" i="1"/>
  <c r="A196" i="1"/>
  <c r="E195" i="1"/>
  <c r="B195" i="1"/>
  <c r="F195" i="1"/>
  <c r="F196" i="1" l="1"/>
  <c r="H196" i="1"/>
  <c r="I196" i="1" s="1"/>
  <c r="G196" i="1"/>
  <c r="E196" i="1"/>
  <c r="A197" i="1"/>
  <c r="D196" i="1"/>
  <c r="C196" i="1"/>
  <c r="B196" i="1"/>
  <c r="E197" i="1" l="1"/>
  <c r="H197" i="1"/>
  <c r="I197" i="1" s="1"/>
  <c r="A198" i="1"/>
  <c r="C197" i="1"/>
  <c r="F197" i="1"/>
  <c r="D197" i="1"/>
  <c r="B197" i="1"/>
  <c r="G197" i="1"/>
  <c r="D198" i="1" l="1"/>
  <c r="H198" i="1"/>
  <c r="I198" i="1" s="1"/>
  <c r="B198" i="1"/>
  <c r="F198" i="1"/>
  <c r="A199" i="1"/>
  <c r="G198" i="1"/>
  <c r="E198" i="1"/>
  <c r="C198" i="1"/>
  <c r="C199" i="1" l="1"/>
  <c r="H199" i="1"/>
  <c r="I199" i="1" s="1"/>
  <c r="E199" i="1"/>
  <c r="D199" i="1"/>
  <c r="A200" i="1"/>
  <c r="G199" i="1"/>
  <c r="F199" i="1"/>
  <c r="B199" i="1"/>
  <c r="A201" i="1" l="1"/>
  <c r="B200" i="1"/>
  <c r="H200" i="1"/>
  <c r="I200" i="1" s="1"/>
  <c r="G200" i="1"/>
  <c r="F200" i="1"/>
  <c r="E200" i="1"/>
  <c r="D200" i="1"/>
  <c r="C200" i="1"/>
  <c r="A202" i="1" l="1"/>
  <c r="H201" i="1"/>
  <c r="I201" i="1" s="1"/>
  <c r="D201" i="1"/>
  <c r="G201" i="1"/>
  <c r="F201" i="1"/>
  <c r="E201" i="1"/>
  <c r="C201" i="1"/>
  <c r="B201" i="1"/>
  <c r="H202" i="1" l="1"/>
  <c r="I202" i="1" s="1"/>
  <c r="A203" i="1"/>
  <c r="C202" i="1"/>
  <c r="B202" i="1"/>
  <c r="F202" i="1"/>
  <c r="G202" i="1"/>
  <c r="E202" i="1"/>
  <c r="D202" i="1"/>
  <c r="G203" i="1" l="1"/>
  <c r="A204" i="1"/>
  <c r="E203" i="1"/>
  <c r="D203" i="1"/>
  <c r="H203" i="1"/>
  <c r="I203" i="1" s="1"/>
  <c r="F203" i="1"/>
  <c r="C203" i="1"/>
  <c r="B203" i="1"/>
  <c r="F204" i="1" l="1"/>
  <c r="A205" i="1"/>
  <c r="E204" i="1"/>
  <c r="H204" i="1"/>
  <c r="I204" i="1" s="1"/>
  <c r="B204" i="1"/>
  <c r="C204" i="1"/>
  <c r="G204" i="1"/>
  <c r="D204" i="1"/>
  <c r="E205" i="1" l="1"/>
  <c r="A206" i="1"/>
  <c r="F205" i="1"/>
  <c r="B205" i="1"/>
  <c r="G205" i="1"/>
  <c r="H205" i="1"/>
  <c r="I205" i="1" s="1"/>
  <c r="D205" i="1"/>
  <c r="C205" i="1"/>
  <c r="D206" i="1" l="1"/>
  <c r="A207" i="1"/>
  <c r="F206" i="1"/>
  <c r="G206" i="1"/>
  <c r="E206" i="1"/>
  <c r="H206" i="1"/>
  <c r="I206" i="1" s="1"/>
  <c r="C206" i="1"/>
  <c r="B206" i="1"/>
  <c r="C207" i="1" l="1"/>
  <c r="A208" i="1"/>
  <c r="F207" i="1"/>
  <c r="D207" i="1"/>
  <c r="H207" i="1"/>
  <c r="I207" i="1" s="1"/>
  <c r="G207" i="1"/>
  <c r="E207" i="1"/>
  <c r="B207" i="1"/>
  <c r="A209" i="1" l="1"/>
  <c r="B208" i="1"/>
  <c r="F208" i="1"/>
  <c r="D208" i="1"/>
  <c r="C208" i="1"/>
  <c r="H208" i="1"/>
  <c r="I208" i="1" s="1"/>
  <c r="G208" i="1"/>
  <c r="E208" i="1"/>
  <c r="B209" i="1" l="1"/>
  <c r="A210" i="1"/>
  <c r="F209" i="1"/>
  <c r="H209" i="1"/>
  <c r="I209" i="1" s="1"/>
  <c r="G209" i="1"/>
  <c r="E209" i="1"/>
  <c r="D209" i="1"/>
  <c r="C209" i="1"/>
  <c r="H210" i="1" l="1"/>
  <c r="I210" i="1" s="1"/>
  <c r="B210" i="1"/>
  <c r="A211" i="1"/>
  <c r="F210" i="1"/>
  <c r="G210" i="1"/>
  <c r="E210" i="1"/>
  <c r="D210" i="1"/>
  <c r="C210" i="1"/>
  <c r="G211" i="1" l="1"/>
  <c r="B211" i="1"/>
  <c r="A212" i="1"/>
  <c r="F211" i="1"/>
  <c r="E211" i="1"/>
  <c r="D211" i="1"/>
  <c r="C211" i="1"/>
  <c r="H211" i="1"/>
  <c r="I211" i="1" s="1"/>
  <c r="F212" i="1" l="1"/>
  <c r="B212" i="1"/>
  <c r="A213" i="1"/>
  <c r="G212" i="1"/>
  <c r="H212" i="1"/>
  <c r="I212" i="1" s="1"/>
  <c r="E212" i="1"/>
  <c r="D212" i="1"/>
  <c r="C212" i="1"/>
  <c r="E213" i="1" l="1"/>
  <c r="B213" i="1"/>
  <c r="A214" i="1"/>
  <c r="G213" i="1"/>
  <c r="C213" i="1"/>
  <c r="H213" i="1"/>
  <c r="I213" i="1" s="1"/>
  <c r="F213" i="1"/>
  <c r="D213" i="1"/>
  <c r="D214" i="1" l="1"/>
  <c r="B214" i="1"/>
  <c r="A215" i="1"/>
  <c r="G214" i="1"/>
  <c r="H214" i="1"/>
  <c r="I214" i="1" s="1"/>
  <c r="F214" i="1"/>
  <c r="E214" i="1"/>
  <c r="C214" i="1"/>
  <c r="C215" i="1" l="1"/>
  <c r="B215" i="1"/>
  <c r="A216" i="1"/>
  <c r="G215" i="1"/>
  <c r="H215" i="1"/>
  <c r="I215" i="1" s="1"/>
  <c r="F215" i="1"/>
  <c r="E215" i="1"/>
  <c r="D215" i="1"/>
  <c r="A217" i="1" l="1"/>
  <c r="B216" i="1"/>
  <c r="C216" i="1"/>
  <c r="G216" i="1"/>
  <c r="E216" i="1"/>
  <c r="D216" i="1"/>
  <c r="H216" i="1"/>
  <c r="I216" i="1" s="1"/>
  <c r="F216" i="1"/>
  <c r="C217" i="1" l="1"/>
  <c r="B217" i="1"/>
  <c r="G217" i="1"/>
  <c r="A218" i="1"/>
  <c r="H217" i="1"/>
  <c r="I217" i="1" s="1"/>
  <c r="F217" i="1"/>
  <c r="E217" i="1"/>
  <c r="D217" i="1"/>
  <c r="H218" i="1" l="1"/>
  <c r="I218" i="1" s="1"/>
  <c r="C218" i="1"/>
  <c r="B218" i="1"/>
  <c r="G218" i="1"/>
  <c r="A219" i="1"/>
  <c r="F218" i="1"/>
  <c r="E218" i="1"/>
  <c r="D218" i="1"/>
  <c r="G219" i="1" l="1"/>
  <c r="C219" i="1"/>
  <c r="B219" i="1"/>
  <c r="H219" i="1"/>
  <c r="I219" i="1" s="1"/>
  <c r="F219" i="1"/>
  <c r="E219" i="1"/>
  <c r="D219" i="1"/>
  <c r="A220" i="1"/>
  <c r="F220" i="1" l="1"/>
  <c r="C220" i="1"/>
  <c r="B220" i="1"/>
  <c r="H220" i="1"/>
  <c r="I220" i="1" s="1"/>
  <c r="A221" i="1"/>
  <c r="G220" i="1"/>
  <c r="E220" i="1"/>
  <c r="D220" i="1"/>
  <c r="E221" i="1" l="1"/>
  <c r="C221" i="1"/>
  <c r="B221" i="1"/>
  <c r="H221" i="1"/>
  <c r="I221" i="1" s="1"/>
  <c r="D221" i="1"/>
  <c r="A222" i="1"/>
  <c r="G221" i="1"/>
  <c r="F221" i="1"/>
  <c r="D222" i="1" l="1"/>
  <c r="C222" i="1"/>
  <c r="B222" i="1"/>
  <c r="H222" i="1"/>
  <c r="I222" i="1" s="1"/>
  <c r="G222" i="1"/>
  <c r="F222" i="1"/>
  <c r="E222" i="1"/>
  <c r="A223" i="1"/>
  <c r="C223" i="1" l="1"/>
  <c r="A224" i="1"/>
  <c r="D223" i="1"/>
  <c r="B223" i="1"/>
  <c r="H223" i="1"/>
  <c r="I223" i="1" s="1"/>
  <c r="G223" i="1"/>
  <c r="F223" i="1"/>
  <c r="E223" i="1"/>
  <c r="A225" i="1" l="1"/>
  <c r="B224" i="1"/>
  <c r="E224" i="1"/>
  <c r="D224" i="1"/>
  <c r="G224" i="1"/>
  <c r="F224" i="1"/>
  <c r="C224" i="1"/>
  <c r="H224" i="1"/>
  <c r="I224" i="1" s="1"/>
  <c r="H225" i="1" l="1"/>
  <c r="I225" i="1" s="1"/>
  <c r="F225" i="1"/>
  <c r="E225" i="1"/>
  <c r="B225" i="1"/>
  <c r="A226" i="1"/>
  <c r="G225" i="1"/>
  <c r="D225" i="1"/>
  <c r="C225" i="1"/>
  <c r="H226" i="1" l="1"/>
  <c r="I226" i="1" s="1"/>
  <c r="G226" i="1"/>
  <c r="F226" i="1"/>
  <c r="C226" i="1"/>
  <c r="E226" i="1"/>
  <c r="D226" i="1"/>
  <c r="B226" i="1"/>
  <c r="A227" i="1"/>
  <c r="G227" i="1" l="1"/>
  <c r="F227" i="1"/>
  <c r="A228" i="1"/>
  <c r="D227" i="1"/>
  <c r="H227" i="1"/>
  <c r="I227" i="1" s="1"/>
  <c r="E227" i="1"/>
  <c r="C227" i="1"/>
  <c r="B227" i="1"/>
  <c r="F228" i="1" l="1"/>
  <c r="E228" i="1"/>
  <c r="A229" i="1"/>
  <c r="G228" i="1"/>
  <c r="D228" i="1"/>
  <c r="C228" i="1"/>
  <c r="B228" i="1"/>
  <c r="H228" i="1"/>
  <c r="I228" i="1" s="1"/>
  <c r="E229" i="1" l="1"/>
  <c r="D229" i="1"/>
  <c r="B229" i="1"/>
  <c r="H229" i="1"/>
  <c r="I229" i="1" s="1"/>
  <c r="A230" i="1"/>
  <c r="G229" i="1"/>
  <c r="F229" i="1"/>
  <c r="C229" i="1"/>
  <c r="D230" i="1" l="1"/>
  <c r="C230" i="1"/>
  <c r="E230" i="1"/>
  <c r="B230" i="1"/>
  <c r="F230" i="1"/>
  <c r="A231" i="1"/>
  <c r="H230" i="1"/>
  <c r="I230" i="1" s="1"/>
  <c r="G230" i="1"/>
  <c r="C231" i="1" l="1"/>
  <c r="A232" i="1"/>
  <c r="B231" i="1"/>
  <c r="F231" i="1"/>
  <c r="E231" i="1"/>
  <c r="H231" i="1"/>
  <c r="I231" i="1" s="1"/>
  <c r="G231" i="1"/>
  <c r="D231" i="1"/>
  <c r="A233" i="1" l="1"/>
  <c r="B232" i="1"/>
  <c r="G232" i="1"/>
  <c r="F232" i="1"/>
  <c r="C232" i="1"/>
  <c r="D232" i="1"/>
  <c r="H232" i="1"/>
  <c r="I232" i="1" s="1"/>
  <c r="E232" i="1"/>
  <c r="H233" i="1" l="1"/>
  <c r="I233" i="1" s="1"/>
  <c r="A234" i="1"/>
  <c r="G233" i="1"/>
  <c r="D233" i="1"/>
  <c r="F233" i="1"/>
  <c r="E233" i="1"/>
  <c r="C233" i="1"/>
  <c r="B233" i="1"/>
  <c r="H234" i="1" l="1"/>
  <c r="I234" i="1" s="1"/>
  <c r="G234" i="1"/>
  <c r="A235" i="1"/>
  <c r="E234" i="1"/>
  <c r="C234" i="1"/>
  <c r="B234" i="1"/>
  <c r="F234" i="1"/>
  <c r="D234" i="1"/>
  <c r="G235" i="1" l="1"/>
  <c r="F235" i="1"/>
  <c r="B235" i="1"/>
  <c r="H235" i="1"/>
  <c r="I235" i="1" s="1"/>
  <c r="A236" i="1"/>
  <c r="E235" i="1"/>
  <c r="D235" i="1"/>
  <c r="C235" i="1"/>
  <c r="F236" i="1" l="1"/>
  <c r="E236" i="1"/>
  <c r="C236" i="1"/>
  <c r="B236" i="1"/>
  <c r="A237" i="1"/>
  <c r="H236" i="1"/>
  <c r="I236" i="1" s="1"/>
  <c r="G236" i="1"/>
  <c r="D236" i="1"/>
  <c r="E237" i="1" l="1"/>
  <c r="D237" i="1"/>
  <c r="F237" i="1"/>
  <c r="C237" i="1"/>
  <c r="A238" i="1"/>
  <c r="H237" i="1"/>
  <c r="I237" i="1" s="1"/>
  <c r="G237" i="1"/>
  <c r="B237" i="1"/>
  <c r="D238" i="1" l="1"/>
  <c r="C238" i="1"/>
  <c r="G238" i="1"/>
  <c r="F238" i="1"/>
  <c r="A239" i="1"/>
  <c r="H238" i="1"/>
  <c r="I238" i="1" s="1"/>
  <c r="E238" i="1"/>
  <c r="B238" i="1"/>
  <c r="C239" i="1" l="1"/>
  <c r="A240" i="1"/>
  <c r="B239" i="1"/>
  <c r="H239" i="1"/>
  <c r="I239" i="1" s="1"/>
  <c r="G239" i="1"/>
  <c r="D239" i="1"/>
  <c r="F239" i="1"/>
  <c r="E239" i="1"/>
  <c r="A241" i="1" l="1"/>
  <c r="B240" i="1"/>
  <c r="H240" i="1"/>
  <c r="I240" i="1" s="1"/>
  <c r="E240" i="1"/>
  <c r="G240" i="1"/>
  <c r="F240" i="1"/>
  <c r="D240" i="1"/>
  <c r="C240" i="1"/>
  <c r="H241" i="1" l="1"/>
  <c r="I241" i="1" s="1"/>
  <c r="B241" i="1"/>
  <c r="F241" i="1"/>
  <c r="G241" i="1"/>
  <c r="E241" i="1"/>
  <c r="D241" i="1"/>
  <c r="C241" i="1"/>
  <c r="A242" i="1"/>
  <c r="H242" i="1" l="1"/>
  <c r="I242" i="1" s="1"/>
  <c r="G242" i="1"/>
  <c r="C242" i="1"/>
  <c r="B242" i="1"/>
  <c r="A243" i="1"/>
  <c r="F242" i="1"/>
  <c r="E242" i="1"/>
  <c r="D242" i="1"/>
  <c r="G243" i="1" l="1"/>
  <c r="F243" i="1"/>
  <c r="D243" i="1"/>
  <c r="C243" i="1"/>
  <c r="A244" i="1"/>
  <c r="H243" i="1"/>
  <c r="I243" i="1" s="1"/>
  <c r="E243" i="1"/>
  <c r="B243" i="1"/>
  <c r="F244" i="1" l="1"/>
  <c r="E244" i="1"/>
  <c r="G244" i="1"/>
  <c r="D244" i="1"/>
  <c r="A245" i="1"/>
  <c r="H244" i="1"/>
  <c r="I244" i="1" s="1"/>
  <c r="C244" i="1"/>
  <c r="B244" i="1"/>
  <c r="E245" i="1" l="1"/>
  <c r="D245" i="1"/>
  <c r="H245" i="1"/>
  <c r="I245" i="1" s="1"/>
  <c r="G245" i="1"/>
  <c r="B245" i="1"/>
  <c r="F245" i="1"/>
  <c r="C245" i="1"/>
  <c r="A246" i="1"/>
  <c r="D246" i="1" l="1"/>
  <c r="C246" i="1"/>
  <c r="G246" i="1"/>
  <c r="A247" i="1"/>
  <c r="F246" i="1"/>
  <c r="H246" i="1"/>
  <c r="I246" i="1" s="1"/>
  <c r="E246" i="1"/>
  <c r="B246" i="1"/>
  <c r="C247" i="1" l="1"/>
  <c r="A248" i="1"/>
  <c r="B247" i="1"/>
  <c r="F247" i="1"/>
  <c r="D247" i="1"/>
  <c r="H247" i="1"/>
  <c r="I247" i="1" s="1"/>
  <c r="G247" i="1"/>
  <c r="E247" i="1"/>
  <c r="A249" i="1" l="1"/>
  <c r="B248" i="1"/>
  <c r="E248" i="1"/>
  <c r="G248" i="1"/>
  <c r="F248" i="1"/>
  <c r="H248" i="1"/>
  <c r="I248" i="1" s="1"/>
  <c r="D248" i="1"/>
  <c r="C248" i="1"/>
  <c r="H249" i="1" l="1"/>
  <c r="I249" i="1" s="1"/>
  <c r="D249" i="1"/>
  <c r="A250" i="1"/>
  <c r="E249" i="1"/>
  <c r="G249" i="1"/>
  <c r="F249" i="1"/>
  <c r="C249" i="1"/>
  <c r="B249" i="1"/>
  <c r="H250" i="1" l="1"/>
  <c r="I250" i="1" s="1"/>
  <c r="G250" i="1"/>
  <c r="C250" i="1"/>
  <c r="B250" i="1"/>
  <c r="D250" i="1"/>
  <c r="A251" i="1"/>
  <c r="F250" i="1"/>
  <c r="E250" i="1"/>
  <c r="G251" i="1" l="1"/>
  <c r="F251" i="1"/>
  <c r="A252" i="1"/>
  <c r="B251" i="1"/>
  <c r="E251" i="1"/>
  <c r="D251" i="1"/>
  <c r="H251" i="1"/>
  <c r="I251" i="1" s="1"/>
  <c r="C251" i="1"/>
  <c r="F252" i="1" l="1"/>
  <c r="E252" i="1"/>
  <c r="A253" i="1"/>
  <c r="H252" i="1"/>
  <c r="I252" i="1" s="1"/>
  <c r="C252" i="1"/>
  <c r="D252" i="1"/>
  <c r="B252" i="1"/>
  <c r="G252" i="1"/>
  <c r="E253" i="1" l="1"/>
  <c r="D253" i="1"/>
  <c r="H253" i="1"/>
  <c r="I253" i="1" s="1"/>
  <c r="G253" i="1"/>
  <c r="A254" i="1"/>
  <c r="F253" i="1"/>
  <c r="C253" i="1"/>
  <c r="B253" i="1"/>
  <c r="D254" i="1" l="1"/>
  <c r="C254" i="1"/>
  <c r="G254" i="1"/>
  <c r="E254" i="1"/>
  <c r="B254" i="1"/>
  <c r="A255" i="1"/>
  <c r="H254" i="1"/>
  <c r="I254" i="1" s="1"/>
  <c r="F254" i="1"/>
  <c r="C255" i="1" l="1"/>
  <c r="A256" i="1"/>
  <c r="B255" i="1"/>
  <c r="F255" i="1"/>
  <c r="H255" i="1"/>
  <c r="I255" i="1" s="1"/>
  <c r="G255" i="1"/>
  <c r="E255" i="1"/>
  <c r="D255" i="1"/>
  <c r="A257" i="1" l="1"/>
  <c r="B256" i="1"/>
  <c r="E256" i="1"/>
  <c r="F256" i="1"/>
  <c r="H256" i="1"/>
  <c r="I256" i="1" s="1"/>
  <c r="G256" i="1"/>
  <c r="D256" i="1"/>
  <c r="C256" i="1"/>
  <c r="H257" i="1" l="1"/>
  <c r="I257" i="1" s="1"/>
  <c r="D257" i="1"/>
  <c r="C257" i="1"/>
  <c r="B257" i="1"/>
  <c r="A258" i="1"/>
  <c r="G257" i="1"/>
  <c r="F257" i="1"/>
  <c r="E257" i="1"/>
  <c r="H258" i="1" l="1"/>
  <c r="I258" i="1" s="1"/>
  <c r="G258" i="1"/>
  <c r="C258" i="1"/>
  <c r="F258" i="1"/>
  <c r="E258" i="1"/>
  <c r="A259" i="1"/>
  <c r="D258" i="1"/>
  <c r="B258" i="1"/>
  <c r="G259" i="1" l="1"/>
  <c r="F259" i="1"/>
  <c r="A260" i="1"/>
  <c r="B259" i="1"/>
  <c r="D259" i="1"/>
  <c r="C259" i="1"/>
  <c r="H259" i="1"/>
  <c r="I259" i="1" s="1"/>
  <c r="E259" i="1"/>
  <c r="F260" i="1" l="1"/>
  <c r="E260" i="1"/>
  <c r="B260" i="1"/>
  <c r="H260" i="1"/>
  <c r="I260" i="1" s="1"/>
  <c r="A261" i="1"/>
  <c r="G260" i="1"/>
  <c r="D260" i="1"/>
  <c r="C260" i="1"/>
  <c r="E261" i="1" l="1"/>
  <c r="D261" i="1"/>
  <c r="H261" i="1"/>
  <c r="I261" i="1" s="1"/>
  <c r="F261" i="1"/>
  <c r="C261" i="1"/>
  <c r="G261" i="1"/>
  <c r="B261" i="1"/>
  <c r="A262" i="1"/>
  <c r="D262" i="1" l="1"/>
  <c r="C262" i="1"/>
  <c r="G262" i="1"/>
  <c r="H262" i="1"/>
  <c r="I262" i="1" s="1"/>
  <c r="B262" i="1"/>
  <c r="A263" i="1"/>
  <c r="F262" i="1"/>
  <c r="E262" i="1"/>
  <c r="C263" i="1" l="1"/>
  <c r="A264" i="1"/>
  <c r="B263" i="1"/>
  <c r="F263" i="1"/>
  <c r="G263" i="1"/>
  <c r="H263" i="1"/>
  <c r="I263" i="1" s="1"/>
  <c r="E263" i="1"/>
  <c r="D263" i="1"/>
  <c r="A265" i="1" l="1"/>
  <c r="B264" i="1"/>
  <c r="E264" i="1"/>
  <c r="D264" i="1"/>
  <c r="C264" i="1"/>
  <c r="H264" i="1"/>
  <c r="I264" i="1" s="1"/>
  <c r="G264" i="1"/>
  <c r="F264" i="1"/>
  <c r="H265" i="1" l="1"/>
  <c r="I265" i="1" s="1"/>
  <c r="D265" i="1"/>
  <c r="G265" i="1"/>
  <c r="F265" i="1"/>
  <c r="C265" i="1"/>
  <c r="B265" i="1"/>
  <c r="A266" i="1"/>
  <c r="E265" i="1"/>
  <c r="H266" i="1" l="1"/>
  <c r="I266" i="1" s="1"/>
  <c r="G266" i="1"/>
  <c r="C266" i="1"/>
  <c r="A267" i="1"/>
  <c r="F266" i="1"/>
  <c r="E266" i="1"/>
  <c r="D266" i="1"/>
  <c r="B266" i="1"/>
  <c r="D267" i="1" l="1"/>
  <c r="C267" i="1"/>
  <c r="H267" i="1"/>
  <c r="I267" i="1" s="1"/>
  <c r="B267" i="1"/>
  <c r="E267" i="1"/>
  <c r="A268" i="1"/>
  <c r="G267" i="1"/>
  <c r="F267" i="1"/>
  <c r="C268" i="1" l="1"/>
  <c r="A269" i="1"/>
  <c r="B268" i="1"/>
  <c r="E268" i="1"/>
  <c r="H268" i="1"/>
  <c r="I268" i="1" s="1"/>
  <c r="G268" i="1"/>
  <c r="F268" i="1"/>
  <c r="D268" i="1"/>
  <c r="A270" i="1" l="1"/>
  <c r="B269" i="1"/>
  <c r="C269" i="1"/>
  <c r="F269" i="1"/>
  <c r="D269" i="1"/>
  <c r="H269" i="1"/>
  <c r="I269" i="1" s="1"/>
  <c r="G269" i="1"/>
  <c r="E269" i="1"/>
  <c r="H270" i="1" l="1"/>
  <c r="I270" i="1" s="1"/>
  <c r="D270" i="1"/>
  <c r="C270" i="1"/>
  <c r="G270" i="1"/>
  <c r="A271" i="1"/>
  <c r="F270" i="1"/>
  <c r="E270" i="1"/>
  <c r="B270" i="1"/>
  <c r="H271" i="1" l="1"/>
  <c r="G271" i="1"/>
  <c r="E271" i="1"/>
  <c r="D271" i="1"/>
  <c r="B271" i="1"/>
  <c r="A272" i="1"/>
  <c r="F271" i="1"/>
  <c r="C271" i="1"/>
  <c r="F272" i="1" l="1"/>
  <c r="E272" i="1"/>
  <c r="G272" i="1"/>
  <c r="D272" i="1"/>
  <c r="A273" i="1"/>
  <c r="H272" i="1"/>
  <c r="I272" i="1" s="1"/>
  <c r="C272" i="1"/>
  <c r="B272" i="1"/>
  <c r="I271" i="1"/>
  <c r="K271" i="1" s="1"/>
  <c r="E273" i="1" l="1"/>
  <c r="D273" i="1"/>
  <c r="H273" i="1"/>
  <c r="I273" i="1" s="1"/>
  <c r="G273" i="1"/>
  <c r="A274" i="1"/>
  <c r="F273" i="1"/>
  <c r="C273" i="1"/>
  <c r="B273" i="1"/>
  <c r="D274" i="1" l="1"/>
  <c r="C274" i="1"/>
  <c r="H274" i="1"/>
  <c r="I274" i="1" s="1"/>
  <c r="B274" i="1"/>
  <c r="G274" i="1"/>
  <c r="F274" i="1"/>
  <c r="E274" i="1"/>
  <c r="A275" i="1"/>
  <c r="C275" i="1" l="1"/>
  <c r="A276" i="1"/>
  <c r="B275" i="1"/>
  <c r="E275" i="1"/>
  <c r="H275" i="1"/>
  <c r="I275" i="1" s="1"/>
  <c r="G275" i="1"/>
  <c r="F275" i="1"/>
  <c r="D275" i="1"/>
  <c r="A277" i="1" l="1"/>
  <c r="B276" i="1"/>
  <c r="C276" i="1"/>
  <c r="F276" i="1"/>
  <c r="G276" i="1"/>
  <c r="E276" i="1"/>
  <c r="D276" i="1"/>
  <c r="H276" i="1"/>
  <c r="I276" i="1" s="1"/>
  <c r="H277" i="1" l="1"/>
  <c r="D277" i="1"/>
  <c r="C277" i="1"/>
  <c r="G277" i="1"/>
  <c r="A278" i="1"/>
  <c r="F277" i="1"/>
  <c r="E277" i="1"/>
  <c r="B277" i="1"/>
  <c r="G278" i="1" l="1"/>
  <c r="F278" i="1"/>
  <c r="D278" i="1"/>
  <c r="C278" i="1"/>
  <c r="E278" i="1"/>
  <c r="B278" i="1"/>
  <c r="A279" i="1"/>
  <c r="H278" i="1"/>
  <c r="I278" i="1" s="1"/>
  <c r="I277" i="1"/>
  <c r="K277" i="1"/>
  <c r="F279" i="1" l="1"/>
  <c r="E279" i="1"/>
  <c r="G279" i="1"/>
  <c r="D279" i="1"/>
  <c r="A280" i="1"/>
  <c r="H279" i="1"/>
  <c r="I279" i="1" s="1"/>
  <c r="C279" i="1"/>
  <c r="B279" i="1"/>
  <c r="E280" i="1" l="1"/>
  <c r="D280" i="1"/>
  <c r="H280" i="1"/>
  <c r="I280" i="1" s="1"/>
  <c r="G280" i="1"/>
  <c r="C280" i="1"/>
  <c r="B280" i="1"/>
  <c r="A281" i="1"/>
  <c r="F280" i="1"/>
  <c r="D281" i="1" l="1"/>
  <c r="C281" i="1"/>
  <c r="H281" i="1"/>
  <c r="I281" i="1" s="1"/>
  <c r="B281" i="1"/>
  <c r="A282" i="1"/>
  <c r="G281" i="1"/>
  <c r="F281" i="1"/>
  <c r="E281" i="1"/>
  <c r="C282" i="1" l="1"/>
  <c r="A283" i="1"/>
  <c r="B282" i="1"/>
  <c r="E282" i="1"/>
  <c r="D282" i="1"/>
  <c r="H282" i="1"/>
  <c r="I282" i="1" s="1"/>
  <c r="G282" i="1"/>
  <c r="F282" i="1"/>
  <c r="A284" i="1" l="1"/>
  <c r="B283" i="1"/>
  <c r="C283" i="1"/>
  <c r="F283" i="1"/>
  <c r="H283" i="1"/>
  <c r="I283" i="1" s="1"/>
  <c r="G283" i="1"/>
  <c r="E283" i="1"/>
  <c r="D283" i="1"/>
  <c r="H284" i="1" l="1"/>
  <c r="I284" i="1" s="1"/>
  <c r="D284" i="1"/>
  <c r="C284" i="1"/>
  <c r="G284" i="1"/>
  <c r="B284" i="1"/>
  <c r="A285" i="1"/>
  <c r="F284" i="1"/>
  <c r="E284" i="1"/>
  <c r="H285" i="1" l="1"/>
  <c r="I285" i="1" s="1"/>
  <c r="G285" i="1"/>
  <c r="E285" i="1"/>
  <c r="D285" i="1"/>
  <c r="A286" i="1"/>
  <c r="F285" i="1"/>
  <c r="C285" i="1"/>
  <c r="B285" i="1"/>
  <c r="G286" i="1" l="1"/>
  <c r="F286" i="1"/>
  <c r="H286" i="1"/>
  <c r="I286" i="1" s="1"/>
  <c r="E286" i="1"/>
  <c r="B286" i="1"/>
  <c r="A287" i="1"/>
  <c r="D286" i="1"/>
  <c r="C286" i="1"/>
  <c r="F287" i="1" l="1"/>
  <c r="E287" i="1"/>
  <c r="H287" i="1"/>
  <c r="I287" i="1" s="1"/>
  <c r="B287" i="1"/>
  <c r="A288" i="1"/>
  <c r="G287" i="1"/>
  <c r="D287" i="1"/>
  <c r="C287" i="1"/>
  <c r="E288" i="1" l="1"/>
  <c r="D288" i="1"/>
  <c r="A289" i="1"/>
  <c r="C288" i="1"/>
  <c r="H288" i="1"/>
  <c r="I288" i="1" s="1"/>
  <c r="G288" i="1"/>
  <c r="F288" i="1"/>
  <c r="B288" i="1"/>
  <c r="D289" i="1" l="1"/>
  <c r="C289" i="1"/>
  <c r="A290" i="1"/>
  <c r="F289" i="1"/>
  <c r="H289" i="1"/>
  <c r="I289" i="1" s="1"/>
  <c r="G289" i="1"/>
  <c r="E289" i="1"/>
  <c r="B289" i="1"/>
  <c r="C290" i="1" l="1"/>
  <c r="A291" i="1"/>
  <c r="B290" i="1"/>
  <c r="D290" i="1"/>
  <c r="G290" i="1"/>
  <c r="H290" i="1"/>
  <c r="I290" i="1" s="1"/>
  <c r="F290" i="1"/>
  <c r="E290" i="1"/>
  <c r="E291" i="1" l="1"/>
  <c r="B291" i="1"/>
  <c r="A292" i="1"/>
  <c r="F291" i="1"/>
  <c r="D291" i="1"/>
  <c r="H291" i="1"/>
  <c r="I291" i="1" s="1"/>
  <c r="G291" i="1"/>
  <c r="C291" i="1"/>
  <c r="D292" i="1" l="1"/>
  <c r="B292" i="1"/>
  <c r="A293" i="1"/>
  <c r="H292" i="1"/>
  <c r="I292" i="1" s="1"/>
  <c r="G292" i="1"/>
  <c r="F292" i="1"/>
  <c r="E292" i="1"/>
  <c r="C292" i="1"/>
  <c r="C293" i="1" l="1"/>
  <c r="B293" i="1"/>
  <c r="A294" i="1"/>
  <c r="E293" i="1"/>
  <c r="H293" i="1"/>
  <c r="I293" i="1" s="1"/>
  <c r="G293" i="1"/>
  <c r="F293" i="1"/>
  <c r="D293" i="1"/>
  <c r="A295" i="1" l="1"/>
  <c r="B294" i="1"/>
  <c r="C294" i="1"/>
  <c r="D294" i="1"/>
  <c r="G294" i="1"/>
  <c r="H294" i="1"/>
  <c r="I294" i="1" s="1"/>
  <c r="F294" i="1"/>
  <c r="E294" i="1"/>
  <c r="C295" i="1" l="1"/>
  <c r="B295" i="1"/>
  <c r="F295" i="1"/>
  <c r="E295" i="1"/>
  <c r="A296" i="1"/>
  <c r="H295" i="1"/>
  <c r="I295" i="1" s="1"/>
  <c r="G295" i="1"/>
  <c r="D295" i="1"/>
  <c r="H296" i="1" l="1"/>
  <c r="I296" i="1" s="1"/>
  <c r="C296" i="1"/>
  <c r="B296" i="1"/>
  <c r="G296" i="1"/>
  <c r="D296" i="1"/>
  <c r="A297" i="1"/>
  <c r="F296" i="1"/>
  <c r="E296" i="1"/>
  <c r="A298" i="1" l="1"/>
  <c r="B297" i="1"/>
  <c r="G297" i="1"/>
  <c r="D297" i="1"/>
  <c r="C297" i="1"/>
  <c r="F297" i="1"/>
  <c r="H297" i="1"/>
  <c r="I297" i="1" s="1"/>
  <c r="E297" i="1"/>
  <c r="F298" i="1" l="1"/>
  <c r="E298" i="1"/>
  <c r="D298" i="1"/>
  <c r="G298" i="1"/>
  <c r="C298" i="1"/>
  <c r="H298" i="1"/>
  <c r="I298" i="1" s="1"/>
  <c r="B298" i="1"/>
  <c r="A299" i="1"/>
  <c r="H299" i="1" l="1"/>
  <c r="I299" i="1" s="1"/>
  <c r="E299" i="1"/>
  <c r="G299" i="1"/>
  <c r="F299" i="1"/>
  <c r="A300" i="1"/>
  <c r="B299" i="1"/>
  <c r="D299" i="1"/>
  <c r="C299" i="1"/>
  <c r="G300" i="1" l="1"/>
  <c r="D300" i="1"/>
  <c r="H300" i="1"/>
  <c r="I300" i="1" s="1"/>
  <c r="B300" i="1"/>
  <c r="F300" i="1"/>
  <c r="A301" i="1"/>
  <c r="E300" i="1"/>
  <c r="C300" i="1"/>
  <c r="F301" i="1" l="1"/>
  <c r="C301" i="1"/>
  <c r="A302" i="1"/>
  <c r="G301" i="1"/>
  <c r="E301" i="1"/>
  <c r="B301" i="1"/>
  <c r="H301" i="1"/>
  <c r="I301" i="1" s="1"/>
  <c r="D301" i="1"/>
  <c r="E302" i="1" l="1"/>
  <c r="A303" i="1"/>
  <c r="B302" i="1"/>
  <c r="D302" i="1"/>
  <c r="H302" i="1"/>
  <c r="I302" i="1" s="1"/>
  <c r="G302" i="1"/>
  <c r="F302" i="1"/>
  <c r="C302" i="1"/>
  <c r="D303" i="1" l="1"/>
  <c r="C303" i="1"/>
  <c r="B303" i="1"/>
  <c r="E303" i="1"/>
  <c r="H303" i="1"/>
  <c r="I303" i="1" s="1"/>
  <c r="G303" i="1"/>
  <c r="F303" i="1"/>
  <c r="A304" i="1"/>
  <c r="C304" i="1" l="1"/>
  <c r="H304" i="1"/>
  <c r="I304" i="1" s="1"/>
  <c r="E304" i="1"/>
  <c r="D304" i="1"/>
  <c r="G304" i="1"/>
  <c r="A305" i="1"/>
  <c r="F304" i="1"/>
  <c r="B304" i="1"/>
  <c r="A306" i="1" l="1"/>
  <c r="B305" i="1"/>
  <c r="G305" i="1"/>
  <c r="F305" i="1"/>
  <c r="E305" i="1"/>
  <c r="D305" i="1"/>
  <c r="H305" i="1"/>
  <c r="I305" i="1" s="1"/>
  <c r="C305" i="1"/>
  <c r="F306" i="1" l="1"/>
  <c r="H306" i="1"/>
  <c r="I306" i="1" s="1"/>
  <c r="G306" i="1"/>
  <c r="D306" i="1"/>
  <c r="C306" i="1"/>
  <c r="B306" i="1"/>
  <c r="A307" i="1"/>
  <c r="E306" i="1"/>
  <c r="H307" i="1" l="1"/>
  <c r="I307" i="1" s="1"/>
  <c r="E307" i="1"/>
  <c r="A308" i="1"/>
  <c r="G307" i="1"/>
  <c r="B307" i="1"/>
  <c r="F307" i="1"/>
  <c r="D307" i="1"/>
  <c r="C307" i="1"/>
  <c r="G308" i="1" l="1"/>
  <c r="D308" i="1"/>
  <c r="A309" i="1"/>
  <c r="B308" i="1"/>
  <c r="F308" i="1"/>
  <c r="H308" i="1"/>
  <c r="I308" i="1" s="1"/>
  <c r="E308" i="1"/>
  <c r="C308" i="1"/>
  <c r="F309" i="1" l="1"/>
  <c r="C309" i="1"/>
  <c r="B309" i="1"/>
  <c r="G309" i="1"/>
  <c r="E309" i="1"/>
  <c r="A310" i="1"/>
  <c r="H309" i="1"/>
  <c r="I309" i="1" s="1"/>
  <c r="D309" i="1"/>
  <c r="E310" i="1" l="1"/>
  <c r="A311" i="1"/>
  <c r="B310" i="1"/>
  <c r="D310" i="1"/>
  <c r="C310" i="1"/>
  <c r="H310" i="1"/>
  <c r="I310" i="1" s="1"/>
  <c r="G310" i="1"/>
  <c r="F310" i="1"/>
  <c r="D311" i="1" l="1"/>
  <c r="F311" i="1"/>
  <c r="E311" i="1"/>
  <c r="B311" i="1"/>
  <c r="H311" i="1"/>
  <c r="I311" i="1" s="1"/>
  <c r="C311" i="1"/>
  <c r="A312" i="1"/>
  <c r="G311" i="1"/>
  <c r="C312" i="1" l="1"/>
  <c r="H312" i="1"/>
  <c r="I312" i="1" s="1"/>
  <c r="G312" i="1"/>
  <c r="F312" i="1"/>
  <c r="E312" i="1"/>
  <c r="A313" i="1"/>
  <c r="D312" i="1"/>
  <c r="B312" i="1"/>
  <c r="A314" i="1" l="1"/>
  <c r="B313" i="1"/>
  <c r="G313" i="1"/>
  <c r="H313" i="1"/>
  <c r="I313" i="1" s="1"/>
  <c r="D313" i="1"/>
  <c r="F313" i="1"/>
  <c r="E313" i="1"/>
  <c r="C313" i="1"/>
  <c r="F314" i="1" l="1"/>
  <c r="A315" i="1"/>
  <c r="D314" i="1"/>
  <c r="C314" i="1"/>
  <c r="H314" i="1"/>
  <c r="I314" i="1" s="1"/>
  <c r="G314" i="1"/>
  <c r="E314" i="1"/>
  <c r="B314" i="1"/>
  <c r="H315" i="1" l="1"/>
  <c r="I315" i="1" s="1"/>
  <c r="E315" i="1"/>
  <c r="B315" i="1"/>
  <c r="G315" i="1"/>
  <c r="A316" i="1"/>
  <c r="F315" i="1"/>
  <c r="D315" i="1"/>
  <c r="C315" i="1"/>
  <c r="G316" i="1" l="1"/>
  <c r="D316" i="1"/>
  <c r="C316" i="1"/>
  <c r="B316" i="1"/>
  <c r="F316" i="1"/>
  <c r="E316" i="1"/>
  <c r="A317" i="1"/>
  <c r="H316" i="1"/>
  <c r="I316" i="1" s="1"/>
  <c r="F317" i="1" l="1"/>
  <c r="C317" i="1"/>
  <c r="E317" i="1"/>
  <c r="D317" i="1"/>
  <c r="G317" i="1"/>
  <c r="B317" i="1"/>
  <c r="A318" i="1"/>
  <c r="H317" i="1"/>
  <c r="I317" i="1" s="1"/>
  <c r="E318" i="1" l="1"/>
  <c r="A319" i="1"/>
  <c r="B318" i="1"/>
  <c r="G318" i="1"/>
  <c r="F318" i="1"/>
  <c r="H318" i="1"/>
  <c r="I318" i="1" s="1"/>
  <c r="D318" i="1"/>
  <c r="C318" i="1"/>
  <c r="D319" i="1" l="1"/>
  <c r="H319" i="1"/>
  <c r="I319" i="1" s="1"/>
  <c r="G319" i="1"/>
  <c r="B319" i="1"/>
  <c r="F319" i="1"/>
  <c r="A320" i="1"/>
  <c r="E319" i="1"/>
  <c r="C319" i="1"/>
  <c r="C320" i="1" l="1"/>
  <c r="H320" i="1"/>
  <c r="I320" i="1" s="1"/>
  <c r="A321" i="1"/>
  <c r="F320" i="1"/>
  <c r="E320" i="1"/>
  <c r="G320" i="1"/>
  <c r="D320" i="1"/>
  <c r="B320" i="1"/>
  <c r="A322" i="1" l="1"/>
  <c r="B321" i="1"/>
  <c r="G321" i="1"/>
  <c r="D321" i="1"/>
  <c r="E321" i="1"/>
  <c r="C321" i="1"/>
  <c r="H321" i="1"/>
  <c r="I321" i="1" s="1"/>
  <c r="F321" i="1"/>
  <c r="F322" i="1" l="1"/>
  <c r="C322" i="1"/>
  <c r="B322" i="1"/>
  <c r="D322" i="1"/>
  <c r="H322" i="1"/>
  <c r="I322" i="1" s="1"/>
  <c r="A323" i="1"/>
  <c r="G322" i="1"/>
  <c r="E322" i="1"/>
  <c r="H323" i="1" l="1"/>
  <c r="I323" i="1" s="1"/>
  <c r="E323" i="1"/>
  <c r="D323" i="1"/>
  <c r="C323" i="1"/>
  <c r="G323" i="1"/>
  <c r="A324" i="1"/>
  <c r="F323" i="1"/>
  <c r="B323" i="1"/>
  <c r="G324" i="1" l="1"/>
  <c r="D324" i="1"/>
  <c r="F324" i="1"/>
  <c r="E324" i="1"/>
  <c r="C324" i="1"/>
  <c r="A325" i="1"/>
  <c r="H324" i="1"/>
  <c r="I324" i="1" s="1"/>
  <c r="B324" i="1"/>
  <c r="F325" i="1" l="1"/>
  <c r="C325" i="1"/>
  <c r="H325" i="1"/>
  <c r="I325" i="1" s="1"/>
  <c r="G325" i="1"/>
  <c r="D325" i="1"/>
  <c r="B325" i="1"/>
  <c r="A326" i="1"/>
  <c r="E325" i="1"/>
  <c r="E326" i="1" l="1"/>
  <c r="A327" i="1"/>
  <c r="B326" i="1"/>
  <c r="H326" i="1"/>
  <c r="I326" i="1" s="1"/>
  <c r="G326" i="1"/>
  <c r="F326" i="1"/>
  <c r="D326" i="1"/>
  <c r="C326" i="1"/>
  <c r="D327" i="1" l="1"/>
  <c r="A328" i="1"/>
  <c r="B327" i="1"/>
  <c r="H327" i="1"/>
  <c r="I327" i="1" s="1"/>
  <c r="G327" i="1"/>
  <c r="F327" i="1"/>
  <c r="E327" i="1"/>
  <c r="C327" i="1"/>
  <c r="C328" i="1" l="1"/>
  <c r="H328" i="1"/>
  <c r="I328" i="1" s="1"/>
  <c r="B328" i="1"/>
  <c r="F328" i="1"/>
  <c r="E328" i="1"/>
  <c r="D328" i="1"/>
  <c r="A329" i="1"/>
  <c r="G328" i="1"/>
  <c r="A330" i="1" l="1"/>
  <c r="B329" i="1"/>
  <c r="G329" i="1"/>
  <c r="D329" i="1"/>
  <c r="C329" i="1"/>
  <c r="H329" i="1"/>
  <c r="I329" i="1" s="1"/>
  <c r="F329" i="1"/>
  <c r="E329" i="1"/>
  <c r="H330" i="1" l="1"/>
  <c r="I330" i="1" s="1"/>
  <c r="F330" i="1"/>
  <c r="E330" i="1"/>
  <c r="D330" i="1"/>
  <c r="B330" i="1"/>
  <c r="A331" i="1"/>
  <c r="G330" i="1"/>
  <c r="C330" i="1"/>
  <c r="H331" i="1" l="1"/>
  <c r="I331" i="1" s="1"/>
  <c r="G331" i="1"/>
  <c r="E331" i="1"/>
  <c r="A332" i="1"/>
  <c r="F331" i="1"/>
  <c r="D331" i="1"/>
  <c r="C331" i="1"/>
  <c r="B331" i="1"/>
  <c r="G332" i="1" l="1"/>
  <c r="F332" i="1"/>
  <c r="D332" i="1"/>
  <c r="B332" i="1"/>
  <c r="A333" i="1"/>
  <c r="H332" i="1"/>
  <c r="I332" i="1" s="1"/>
  <c r="E332" i="1"/>
  <c r="C332" i="1"/>
  <c r="F333" i="1" l="1"/>
  <c r="E333" i="1"/>
  <c r="C333" i="1"/>
  <c r="D333" i="1"/>
  <c r="B333" i="1"/>
  <c r="H333" i="1"/>
  <c r="I333" i="1" s="1"/>
  <c r="G333" i="1"/>
  <c r="A334" i="1"/>
  <c r="E334" i="1" l="1"/>
  <c r="D334" i="1"/>
  <c r="A335" i="1"/>
  <c r="B334" i="1"/>
  <c r="H334" i="1"/>
  <c r="I334" i="1" s="1"/>
  <c r="G334" i="1"/>
  <c r="F334" i="1"/>
  <c r="C334" i="1"/>
  <c r="D335" i="1" l="1"/>
  <c r="C335" i="1"/>
  <c r="A336" i="1"/>
  <c r="G335" i="1"/>
  <c r="F335" i="1"/>
  <c r="E335" i="1"/>
  <c r="B335" i="1"/>
  <c r="H335" i="1"/>
  <c r="I335" i="1" s="1"/>
  <c r="C336" i="1" l="1"/>
  <c r="A337" i="1"/>
  <c r="B336" i="1"/>
  <c r="H336" i="1"/>
  <c r="I336" i="1" s="1"/>
  <c r="D336" i="1"/>
  <c r="G336" i="1"/>
  <c r="F336" i="1"/>
  <c r="E336" i="1"/>
  <c r="A338" i="1" l="1"/>
  <c r="B337" i="1"/>
  <c r="G337" i="1"/>
  <c r="F337" i="1"/>
  <c r="E337" i="1"/>
  <c r="H337" i="1"/>
  <c r="I337" i="1" s="1"/>
  <c r="D337" i="1"/>
  <c r="C337" i="1"/>
  <c r="H338" i="1" l="1"/>
  <c r="I338" i="1" s="1"/>
  <c r="F338" i="1"/>
  <c r="A339" i="1"/>
  <c r="G338" i="1"/>
  <c r="E338" i="1"/>
  <c r="D338" i="1"/>
  <c r="C338" i="1"/>
  <c r="B338" i="1"/>
  <c r="H339" i="1" l="1"/>
  <c r="I339" i="1" s="1"/>
  <c r="G339" i="1"/>
  <c r="E339" i="1"/>
  <c r="B339" i="1"/>
  <c r="F339" i="1"/>
  <c r="D339" i="1"/>
  <c r="C339" i="1"/>
  <c r="A340" i="1"/>
  <c r="G340" i="1" l="1"/>
  <c r="F340" i="1"/>
  <c r="D340" i="1"/>
  <c r="E340" i="1"/>
  <c r="C340" i="1"/>
  <c r="A341" i="1"/>
  <c r="H340" i="1"/>
  <c r="I340" i="1" s="1"/>
  <c r="B340" i="1"/>
  <c r="F341" i="1" l="1"/>
  <c r="E341" i="1"/>
  <c r="C341" i="1"/>
  <c r="H341" i="1"/>
  <c r="I341" i="1" s="1"/>
  <c r="B341" i="1"/>
  <c r="G341" i="1"/>
  <c r="D341" i="1"/>
  <c r="A342" i="1"/>
  <c r="E342" i="1" l="1"/>
  <c r="D342" i="1"/>
  <c r="A343" i="1"/>
  <c r="B342" i="1"/>
  <c r="G342" i="1"/>
  <c r="H342" i="1"/>
  <c r="I342" i="1" s="1"/>
  <c r="F342" i="1"/>
  <c r="C342" i="1"/>
  <c r="D343" i="1" l="1"/>
  <c r="C343" i="1"/>
  <c r="E343" i="1"/>
  <c r="B343" i="1"/>
  <c r="A344" i="1"/>
  <c r="H343" i="1"/>
  <c r="I343" i="1" s="1"/>
  <c r="G343" i="1"/>
  <c r="F343" i="1"/>
  <c r="C344" i="1" l="1"/>
  <c r="A345" i="1"/>
  <c r="B344" i="1"/>
  <c r="H344" i="1"/>
  <c r="I344" i="1" s="1"/>
  <c r="G344" i="1"/>
  <c r="F344" i="1"/>
  <c r="E344" i="1"/>
  <c r="D344" i="1"/>
  <c r="A346" i="1" l="1"/>
  <c r="B345" i="1"/>
  <c r="G345" i="1"/>
  <c r="E345" i="1"/>
  <c r="H345" i="1"/>
  <c r="I345" i="1" s="1"/>
  <c r="F345" i="1"/>
  <c r="D345" i="1"/>
  <c r="C345" i="1"/>
  <c r="H346" i="1" l="1"/>
  <c r="I346" i="1" s="1"/>
  <c r="F346" i="1"/>
  <c r="C346" i="1"/>
  <c r="B346" i="1"/>
  <c r="A347" i="1"/>
  <c r="D346" i="1"/>
  <c r="G346" i="1"/>
  <c r="E346" i="1"/>
  <c r="H347" i="1" l="1"/>
  <c r="I347" i="1" s="1"/>
  <c r="G347" i="1"/>
  <c r="E347" i="1"/>
  <c r="F347" i="1"/>
  <c r="D347" i="1"/>
  <c r="A348" i="1"/>
  <c r="C347" i="1"/>
  <c r="B347" i="1"/>
  <c r="G348" i="1" l="1"/>
  <c r="F348" i="1"/>
  <c r="D348" i="1"/>
  <c r="A349" i="1"/>
  <c r="C348" i="1"/>
  <c r="E348" i="1"/>
  <c r="B348" i="1"/>
  <c r="H348" i="1"/>
  <c r="I348" i="1" s="1"/>
  <c r="F349" i="1" l="1"/>
  <c r="E349" i="1"/>
  <c r="C349" i="1"/>
  <c r="H349" i="1"/>
  <c r="I349" i="1" s="1"/>
  <c r="A350" i="1"/>
  <c r="G349" i="1"/>
  <c r="D349" i="1"/>
  <c r="B349" i="1"/>
  <c r="E350" i="1" l="1"/>
  <c r="D350" i="1"/>
  <c r="A351" i="1"/>
  <c r="B350" i="1"/>
  <c r="F350" i="1"/>
  <c r="C350" i="1"/>
  <c r="H350" i="1"/>
  <c r="I350" i="1" s="1"/>
  <c r="G350" i="1"/>
  <c r="D351" i="1" l="1"/>
  <c r="C351" i="1"/>
  <c r="H351" i="1"/>
  <c r="I351" i="1" s="1"/>
  <c r="G351" i="1"/>
  <c r="B351" i="1"/>
  <c r="A352" i="1"/>
  <c r="F351" i="1"/>
  <c r="E351" i="1"/>
  <c r="C352" i="1" l="1"/>
  <c r="A353" i="1"/>
  <c r="B352" i="1"/>
  <c r="H352" i="1"/>
  <c r="I352" i="1" s="1"/>
  <c r="F352" i="1"/>
  <c r="G352" i="1"/>
  <c r="E352" i="1"/>
  <c r="D352" i="1"/>
  <c r="A354" i="1" l="1"/>
  <c r="B353" i="1"/>
  <c r="G353" i="1"/>
  <c r="D353" i="1"/>
  <c r="C353" i="1"/>
  <c r="H353" i="1"/>
  <c r="I353" i="1" s="1"/>
  <c r="F353" i="1"/>
  <c r="E353" i="1"/>
  <c r="H354" i="1" l="1"/>
  <c r="I354" i="1" s="1"/>
  <c r="F354" i="1"/>
  <c r="G354" i="1"/>
  <c r="E354" i="1"/>
  <c r="B354" i="1"/>
  <c r="A355" i="1"/>
  <c r="D354" i="1"/>
  <c r="C354" i="1"/>
  <c r="H355" i="1" l="1"/>
  <c r="I355" i="1" s="1"/>
  <c r="G355" i="1"/>
  <c r="E355" i="1"/>
  <c r="A356" i="1"/>
  <c r="D355" i="1"/>
  <c r="C355" i="1"/>
  <c r="B355" i="1"/>
  <c r="F355" i="1"/>
  <c r="G356" i="1" l="1"/>
  <c r="F356" i="1"/>
  <c r="D356" i="1"/>
  <c r="B356" i="1"/>
  <c r="A357" i="1"/>
  <c r="H356" i="1"/>
  <c r="I356" i="1" s="1"/>
  <c r="E356" i="1"/>
  <c r="C356" i="1"/>
  <c r="F357" i="1" l="1"/>
  <c r="E357" i="1"/>
  <c r="C357" i="1"/>
  <c r="G357" i="1"/>
  <c r="D357" i="1"/>
  <c r="H357" i="1"/>
  <c r="I357" i="1" s="1"/>
  <c r="B357" i="1"/>
  <c r="A358" i="1"/>
  <c r="E358" i="1" l="1"/>
  <c r="D358" i="1"/>
  <c r="A359" i="1"/>
  <c r="B358" i="1"/>
  <c r="H358" i="1"/>
  <c r="I358" i="1" s="1"/>
  <c r="C358" i="1"/>
  <c r="G358" i="1"/>
  <c r="F358" i="1"/>
  <c r="H359" i="1" l="1"/>
  <c r="I359" i="1" s="1"/>
  <c r="D359" i="1"/>
  <c r="C359" i="1"/>
  <c r="G359" i="1"/>
  <c r="A360" i="1"/>
  <c r="F359" i="1"/>
  <c r="E359" i="1"/>
  <c r="B359" i="1"/>
  <c r="G360" i="1" l="1"/>
  <c r="C360" i="1"/>
  <c r="A361" i="1"/>
  <c r="B360" i="1"/>
  <c r="H360" i="1"/>
  <c r="I360" i="1" s="1"/>
  <c r="F360" i="1"/>
  <c r="E360" i="1"/>
  <c r="D360" i="1"/>
  <c r="F361" i="1" l="1"/>
  <c r="A362" i="1"/>
  <c r="B361" i="1"/>
  <c r="H361" i="1"/>
  <c r="I361" i="1" s="1"/>
  <c r="G361" i="1"/>
  <c r="E361" i="1"/>
  <c r="D361" i="1"/>
  <c r="C361" i="1"/>
  <c r="E362" i="1" l="1"/>
  <c r="H362" i="1"/>
  <c r="I362" i="1" s="1"/>
  <c r="G362" i="1"/>
  <c r="F362" i="1"/>
  <c r="A363" i="1"/>
  <c r="D362" i="1"/>
  <c r="C362" i="1"/>
  <c r="B362" i="1"/>
  <c r="D363" i="1" l="1"/>
  <c r="H363" i="1"/>
  <c r="I363" i="1" s="1"/>
  <c r="G363" i="1"/>
  <c r="F363" i="1"/>
  <c r="E363" i="1"/>
  <c r="A364" i="1"/>
  <c r="C363" i="1"/>
  <c r="B363" i="1"/>
  <c r="C364" i="1" l="1"/>
  <c r="H364" i="1"/>
  <c r="I364" i="1" s="1"/>
  <c r="G364" i="1"/>
  <c r="F364" i="1"/>
  <c r="E364" i="1"/>
  <c r="D364" i="1"/>
  <c r="A365" i="1"/>
  <c r="B364" i="1"/>
  <c r="A366" i="1" l="1"/>
  <c r="B365" i="1"/>
  <c r="H365" i="1"/>
  <c r="I365" i="1" s="1"/>
  <c r="G365" i="1"/>
  <c r="F365" i="1"/>
  <c r="E365" i="1"/>
  <c r="D365" i="1"/>
  <c r="C365" i="1"/>
  <c r="H366" i="1" l="1"/>
  <c r="I366" i="1" s="1"/>
  <c r="G366" i="1"/>
  <c r="F366" i="1"/>
  <c r="E366" i="1"/>
  <c r="D366" i="1"/>
  <c r="C366" i="1"/>
  <c r="B366" i="1"/>
</calcChain>
</file>

<file path=xl/sharedStrings.xml><?xml version="1.0" encoding="utf-8"?>
<sst xmlns="http://schemas.openxmlformats.org/spreadsheetml/2006/main" count="38" uniqueCount="25">
  <si>
    <t>date</t>
  </si>
  <si>
    <t>dateText</t>
  </si>
  <si>
    <t>monthsFromJan2024</t>
  </si>
  <si>
    <t>dayOfMonth</t>
  </si>
  <si>
    <t>isWeekday</t>
  </si>
  <si>
    <t>weekNum</t>
  </si>
  <si>
    <t>ym</t>
  </si>
  <si>
    <t>workingDays</t>
  </si>
  <si>
    <t>weeksInMonth</t>
  </si>
  <si>
    <t>Public Holidays</t>
  </si>
  <si>
    <t>Comment: Allows mulitple selections</t>
  </si>
  <si>
    <t>Baseline</t>
  </si>
  <si>
    <t>Scenario 1</t>
  </si>
  <si>
    <t>Scenario 2</t>
  </si>
  <si>
    <t>Scenario 3</t>
  </si>
  <si>
    <t>State</t>
  </si>
  <si>
    <t>Customer Type</t>
  </si>
  <si>
    <t>Channel</t>
  </si>
  <si>
    <t>H Tactic</t>
  </si>
  <si>
    <t>Detail Tactic</t>
  </si>
  <si>
    <t>Product</t>
  </si>
  <si>
    <t>Month</t>
  </si>
  <si>
    <t>Applications</t>
  </si>
  <si>
    <t>Approvals</t>
  </si>
  <si>
    <t>Originations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</si>
</sst>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mmm\-yyyy"/>
  </numFmts>
  <fonts count="2">
    <font>
      <sz val="12"/>
      <color theme="1"/>
      <name val="Nunito Sans 12pt ExtraLight"/>
      <family val="2"/>
    </font>
    <font>
      <sz val="12"/>
      <color theme="1"/>
      <name val="Nunito Sans 12pt Extra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1" applyNumberFormat="1" applyFont="1"/>
    <xf numFmtId="43" fontId="0" fillId="0" borderId="0" xfId="1" applyFont="1"/>
    <xf numFmtId="15" fontId="0" fillId="0" borderId="0" xfId="0" applyNumberFormat="1"/>
    <xf numFmtId="164" fontId="0" fillId="0" borderId="0" xfId="1" applyNumberFormat="1" applyFont="1"/>
    <xf numFmtId="1" fontId="0" fillId="0" borderId="0" xfId="1" applyNumberFormat="1" applyFont="1"/>
    <xf numFmtId="165" fontId="0" fillId="0" borderId="0" xfId="0" applyNumberFormat="1"/>
    <xf numFmtId="0" fontId="0" fillId="2" borderId="0" xfId="0" applyFill="1"/>
    <xf numFmtId="166" fontId="0" fillId="2" borderId="0" xfId="0" applyNumberFormat="1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Sans 12pt ExtraLight"/>
        <family val="2"/>
        <scheme val="none"/>
      </font>
      <numFmt numFmtId="1" formatCode="0"/>
    </dxf>
    <dxf>
      <numFmt numFmtId="0" formatCode="General"/>
    </dxf>
    <dxf>
      <numFmt numFmtId="20" formatCode="d\-mmm\-yy"/>
    </dxf>
    <dxf>
      <numFmt numFmtId="164" formatCode="_(* #,##0_);_(* \(#,##0\);_(* &quot;-&quot;??_);_(@_)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Drop" dropStyle="combo" dx="15" noThreeD="1" sel="0" val="0"/>
</file>

<file path=xl/ctrlProps/ctrlProp2.xml><?xml version="1.0" encoding="utf-8"?>
<formControlPr xmlns="http://schemas.microsoft.com/office/spreadsheetml/2009/9/main" objectType="Drop" dropStyle="combo" dx="15" noThreeD="1" sel="0" val="0"/>
</file>

<file path=xl/ctrlProps/ctrlProp3.xml><?xml version="1.0" encoding="utf-8"?>
<formControlPr xmlns="http://schemas.microsoft.com/office/spreadsheetml/2009/9/main" objectType="Drop" dropStyle="combo" dx="15" noThreeD="1" sel="0" val="0"/>
</file>

<file path=xl/ctrlProps/ctrlProp4.xml><?xml version="1.0" encoding="utf-8"?>
<formControlPr xmlns="http://schemas.microsoft.com/office/spreadsheetml/2009/9/main" objectType="Drop" dropStyle="combo" dx="15" noThreeD="1" sel="0" val="0"/>
</file>

<file path=xl/ctrlProps/ctrlProp5.xml><?xml version="1.0" encoding="utf-8"?>
<formControlPr xmlns="http://schemas.microsoft.com/office/spreadsheetml/2009/9/main" objectType="Drop" dropStyle="combo" dx="15" noThreeD="1" sel="0" val="0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ctrlProps/ctrlProp9.xml><?xml version="1.0" encoding="utf-8"?>
<formControlPr xmlns="http://schemas.microsoft.com/office/spreadsheetml/2009/9/main" objectType="Label" lockText="1"/>
</file>

<file path=xl/ctrlProps/ctrlProp10.xml><?xml version="1.0" encoding="utf-8"?>
<formControlPr xmlns="http://schemas.microsoft.com/office/spreadsheetml/2009/9/main" objectType="Label" lockText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GBox" noThreeD="1"/>
</file>

<file path=xl/ctrlProps/ctrlProp17.xml><?xml version="1.0" encoding="utf-8"?>
<formControlPr xmlns="http://schemas.microsoft.com/office/spreadsheetml/2009/9/main" objectType="Scroll" dx="15" horiz="1" max="100" page="10" val="30"/>
</file>

<file path=xl/ctrlProps/ctrlProp18.xml><?xml version="1.0" encoding="utf-8"?>
<formControlPr xmlns="http://schemas.microsoft.com/office/spreadsheetml/2009/9/main" objectType="Scroll" dx="15" horiz="1" max="100" page="10" val="40"/>
</file>

<file path=xl/ctrlProps/ctrlProp19.xml><?xml version="1.0" encoding="utf-8"?>
<formControlPr xmlns="http://schemas.microsoft.com/office/spreadsheetml/2009/9/main" objectType="Scroll" dx="15" horiz="1" max="100" page="10" val="29"/>
</file>

<file path=xl/ctrlProps/ctrlProp20.xml><?xml version="1.0" encoding="utf-8"?>
<formControlPr xmlns="http://schemas.microsoft.com/office/spreadsheetml/2009/9/main" objectType="Scroll" dx="15" horiz="1" max="100" page="10" val="0"/>
</file>

<file path=xl/ctrlProps/ctrlProp21.xml><?xml version="1.0" encoding="utf-8"?>
<formControlPr xmlns="http://schemas.microsoft.com/office/spreadsheetml/2009/9/main" objectType="Scroll" dx="15" horiz="1" max="100" page="10" val="0"/>
</file>

<file path=xl/ctrlProps/ctrlProp22.xml><?xml version="1.0" encoding="utf-8"?>
<formControlPr xmlns="http://schemas.microsoft.com/office/spreadsheetml/2009/9/main" objectType="Scroll" dx="15" horiz="1" max="100" page="10" val="0"/>
</file>

<file path=xl/ctrlProps/ctrlProp23.xml><?xml version="1.0" encoding="utf-8"?>
<formControlPr xmlns="http://schemas.microsoft.com/office/spreadsheetml/2009/9/main" objectType="Label" lockText="1"/>
</file>

<file path=xl/ctrlProps/ctrlProp24.xml><?xml version="1.0" encoding="utf-8"?>
<formControlPr xmlns="http://schemas.microsoft.com/office/spreadsheetml/2009/9/main" objectType="Label" lockText="1"/>
</file>

<file path=xl/ctrlProps/ctrlProp25.xml><?xml version="1.0" encoding="utf-8"?>
<formControlPr xmlns="http://schemas.microsoft.com/office/spreadsheetml/2009/9/main" objectType="Label" lockText="1"/>
</file>

<file path=xl/ctrlProps/ctrlProp26.xml><?xml version="1.0" encoding="utf-8"?>
<formControlPr xmlns="http://schemas.microsoft.com/office/spreadsheetml/2009/9/main" objectType="Label" lockText="1"/>
</file>

<file path=xl/ctrlProps/ctrlProp27.xml><?xml version="1.0" encoding="utf-8"?>
<formControlPr xmlns="http://schemas.microsoft.com/office/spreadsheetml/2009/9/main" objectType="Label" lockText="1"/>
</file>

<file path=xl/ctrlProps/ctrlProp28.xml><?xml version="1.0" encoding="utf-8"?>
<formControlPr xmlns="http://schemas.microsoft.com/office/spreadsheetml/2009/9/main" objectType="Label" lockText="1"/>
</file>

<file path=xl/ctrlProps/ctrlProp29.xml><?xml version="1.0" encoding="utf-8"?>
<formControlPr xmlns="http://schemas.microsoft.com/office/spreadsheetml/2009/9/main" objectType="Label" lockText="1"/>
</file>

<file path=xl/ctrlProps/ctrlProp30.xml><?xml version="1.0" encoding="utf-8"?>
<formControlPr xmlns="http://schemas.microsoft.com/office/spreadsheetml/2009/9/main" objectType="Scroll" dx="15" horiz="1" max="100" page="10" val="0"/>
</file>

<file path=xl/ctrlProps/ctrlProp31.xml><?xml version="1.0" encoding="utf-8"?>
<formControlPr xmlns="http://schemas.microsoft.com/office/spreadsheetml/2009/9/main" objectType="Label" lockText="1"/>
</file>

<file path=xl/ctrlProps/ctrlProp32.xml><?xml version="1.0" encoding="utf-8"?>
<formControlPr xmlns="http://schemas.microsoft.com/office/spreadsheetml/2009/9/main" objectType="Scroll" dx="15" horiz="1" max="100" page="10" val="0"/>
</file>

<file path=xl/ctrlProps/ctrlProp33.xml><?xml version="1.0" encoding="utf-8"?>
<formControlPr xmlns="http://schemas.microsoft.com/office/spreadsheetml/2009/9/main" objectType="GBox" noThreeD="1"/>
</file>

<file path=xl/ctrlProps/ctrlProp34.xml><?xml version="1.0" encoding="utf-8"?>
<formControlPr xmlns="http://schemas.microsoft.com/office/spreadsheetml/2009/9/main" objectType="GBox" noThreeD="1"/>
</file>

<file path=xl/ctrlProps/ctrlProp35.xml><?xml version="1.0" encoding="utf-8"?>
<formControlPr xmlns="http://schemas.microsoft.com/office/spreadsheetml/2009/9/main" objectType="Scroll" dx="15" horiz="1" max="100" page="10" val="30"/>
</file>

<file path=xl/ctrlProps/ctrlProp36.xml><?xml version="1.0" encoding="utf-8"?>
<formControlPr xmlns="http://schemas.microsoft.com/office/spreadsheetml/2009/9/main" objectType="Scroll" dx="15" horiz="1" max="100" page="10" val="40"/>
</file>

<file path=xl/ctrlProps/ctrlProp37.xml><?xml version="1.0" encoding="utf-8"?>
<formControlPr xmlns="http://schemas.microsoft.com/office/spreadsheetml/2009/9/main" objectType="Scroll" dx="15" horiz="1" max="100" page="10" val="29"/>
</file>

<file path=xl/ctrlProps/ctrlProp38.xml><?xml version="1.0" encoding="utf-8"?>
<formControlPr xmlns="http://schemas.microsoft.com/office/spreadsheetml/2009/9/main" objectType="Scroll" dx="15" horiz="1" max="100" page="10" val="0"/>
</file>

<file path=xl/ctrlProps/ctrlProp39.xml><?xml version="1.0" encoding="utf-8"?>
<formControlPr xmlns="http://schemas.microsoft.com/office/spreadsheetml/2009/9/main" objectType="Scroll" dx="15" horiz="1" max="100" page="10" val="0"/>
</file>

<file path=xl/ctrlProps/ctrlProp40.xml><?xml version="1.0" encoding="utf-8"?>
<formControlPr xmlns="http://schemas.microsoft.com/office/spreadsheetml/2009/9/main" objectType="Scroll" dx="15" horiz="1" max="100" page="10" val="0"/>
</file>

<file path=xl/ctrlProps/ctrlProp41.xml><?xml version="1.0" encoding="utf-8"?>
<formControlPr xmlns="http://schemas.microsoft.com/office/spreadsheetml/2009/9/main" objectType="Label" lockText="1"/>
</file>

<file path=xl/ctrlProps/ctrlProp42.xml><?xml version="1.0" encoding="utf-8"?>
<formControlPr xmlns="http://schemas.microsoft.com/office/spreadsheetml/2009/9/main" objectType="Label" lockText="1"/>
</file>

<file path=xl/ctrlProps/ctrlProp43.xml><?xml version="1.0" encoding="utf-8"?>
<formControlPr xmlns="http://schemas.microsoft.com/office/spreadsheetml/2009/9/main" objectType="Label" lockText="1"/>
</file>

<file path=xl/ctrlProps/ctrlProp44.xml><?xml version="1.0" encoding="utf-8"?>
<formControlPr xmlns="http://schemas.microsoft.com/office/spreadsheetml/2009/9/main" objectType="Label" lockText="1"/>
</file>

<file path=xl/ctrlProps/ctrlProp45.xml><?xml version="1.0" encoding="utf-8"?>
<formControlPr xmlns="http://schemas.microsoft.com/office/spreadsheetml/2009/9/main" objectType="Label" lockText="1"/>
</file>

<file path=xl/ctrlProps/ctrlProp46.xml><?xml version="1.0" encoding="utf-8"?>
<formControlPr xmlns="http://schemas.microsoft.com/office/spreadsheetml/2009/9/main" objectType="Label" lockText="1"/>
</file>

<file path=xl/ctrlProps/ctrlProp47.xml><?xml version="1.0" encoding="utf-8"?>
<formControlPr xmlns="http://schemas.microsoft.com/office/spreadsheetml/2009/9/main" objectType="Label" lockText="1"/>
</file>

<file path=xl/ctrlProps/ctrlProp48.xml><?xml version="1.0" encoding="utf-8"?>
<formControlPr xmlns="http://schemas.microsoft.com/office/spreadsheetml/2009/9/main" objectType="Scroll" dx="15" horiz="1" max="100" page="10" val="0"/>
</file>

<file path=xl/ctrlProps/ctrlProp49.xml><?xml version="1.0" encoding="utf-8"?>
<formControlPr xmlns="http://schemas.microsoft.com/office/spreadsheetml/2009/9/main" objectType="Label" lockText="1"/>
</file>

<file path=xl/ctrlProps/ctrlProp50.xml><?xml version="1.0" encoding="utf-8"?>
<formControlPr xmlns="http://schemas.microsoft.com/office/spreadsheetml/2009/9/main" objectType="Scroll" dx="15" horiz="1" max="100" page="10" val="0"/>
</file>

<file path=xl/ctrlProps/ctrlProp51.xml><?xml version="1.0" encoding="utf-8"?>
<formControlPr xmlns="http://schemas.microsoft.com/office/spreadsheetml/2009/9/main" objectType="GBox" noThreeD="1"/>
</file>

<file path=xl/ctrlProps/ctrlProp52.xml><?xml version="1.0" encoding="utf-8"?>
<formControlPr xmlns="http://schemas.microsoft.com/office/spreadsheetml/2009/9/main" objectType="Scroll" dx="15" horiz="1" max="100" page="10" val="30"/>
</file>

<file path=xl/ctrlProps/ctrlProp53.xml><?xml version="1.0" encoding="utf-8"?>
<formControlPr xmlns="http://schemas.microsoft.com/office/spreadsheetml/2009/9/main" objectType="Scroll" dx="15" horiz="1" max="100" page="10" val="40"/>
</file>

<file path=xl/ctrlProps/ctrlProp54.xml><?xml version="1.0" encoding="utf-8"?>
<formControlPr xmlns="http://schemas.microsoft.com/office/spreadsheetml/2009/9/main" objectType="Scroll" dx="15" horiz="1" max="100" page="10" val="29"/>
</file>

<file path=xl/ctrlProps/ctrlProp55.xml><?xml version="1.0" encoding="utf-8"?>
<formControlPr xmlns="http://schemas.microsoft.com/office/spreadsheetml/2009/9/main" objectType="Scroll" dx="15" horiz="1" max="100" page="10" val="0"/>
</file>

<file path=xl/ctrlProps/ctrlProp56.xml><?xml version="1.0" encoding="utf-8"?>
<formControlPr xmlns="http://schemas.microsoft.com/office/spreadsheetml/2009/9/main" objectType="Scroll" dx="15" horiz="1" max="100" page="10" val="0"/>
</file>

<file path=xl/ctrlProps/ctrlProp57.xml><?xml version="1.0" encoding="utf-8"?>
<formControlPr xmlns="http://schemas.microsoft.com/office/spreadsheetml/2009/9/main" objectType="Scroll" dx="15" horiz="1" max="100" page="10" val="0"/>
</file>

<file path=xl/ctrlProps/ctrlProp58.xml><?xml version="1.0" encoding="utf-8"?>
<formControlPr xmlns="http://schemas.microsoft.com/office/spreadsheetml/2009/9/main" objectType="Label" lockText="1"/>
</file>

<file path=xl/ctrlProps/ctrlProp59.xml><?xml version="1.0" encoding="utf-8"?>
<formControlPr xmlns="http://schemas.microsoft.com/office/spreadsheetml/2009/9/main" objectType="Label" lockText="1"/>
</file>

<file path=xl/ctrlProps/ctrlProp60.xml><?xml version="1.0" encoding="utf-8"?>
<formControlPr xmlns="http://schemas.microsoft.com/office/spreadsheetml/2009/9/main" objectType="Label" lockText="1"/>
</file>

<file path=xl/ctrlProps/ctrlProp61.xml><?xml version="1.0" encoding="utf-8"?>
<formControlPr xmlns="http://schemas.microsoft.com/office/spreadsheetml/2009/9/main" objectType="Label" lockText="1"/>
</file>

<file path=xl/ctrlProps/ctrlProp62.xml><?xml version="1.0" encoding="utf-8"?>
<formControlPr xmlns="http://schemas.microsoft.com/office/spreadsheetml/2009/9/main" objectType="Label" lockText="1"/>
</file>

<file path=xl/ctrlProps/ctrlProp63.xml><?xml version="1.0" encoding="utf-8"?>
<formControlPr xmlns="http://schemas.microsoft.com/office/spreadsheetml/2009/9/main" objectType="Label" lockText="1"/>
</file>

<file path=xl/ctrlProps/ctrlProp64.xml><?xml version="1.0" encoding="utf-8"?>
<formControlPr xmlns="http://schemas.microsoft.com/office/spreadsheetml/2009/9/main" objectType="Label" lockText="1"/>
</file>

<file path=xl/ctrlProps/ctrlProp65.xml><?xml version="1.0" encoding="utf-8"?>
<formControlPr xmlns="http://schemas.microsoft.com/office/spreadsheetml/2009/9/main" objectType="Scroll" dx="15" horiz="1" max="100" page="10" val="0"/>
</file>

<file path=xl/ctrlProps/ctrlProp66.xml><?xml version="1.0" encoding="utf-8"?>
<formControlPr xmlns="http://schemas.microsoft.com/office/spreadsheetml/2009/9/main" objectType="Label" lockText="1"/>
</file>

<file path=xl/ctrlProps/ctrlProp67.xml><?xml version="1.0" encoding="utf-8"?>
<formControlPr xmlns="http://schemas.microsoft.com/office/spreadsheetml/2009/9/main" objectType="Scroll" dx="15" horiz="1" max="100" page="10" val="0"/>
</file>

<file path=xl/ctrlProps/ctrlProp68.xml><?xml version="1.0" encoding="utf-8"?>
<formControlPr xmlns="http://schemas.microsoft.com/office/spreadsheetml/2009/9/main" objectType="GBox" noThreeD="1"/>
</file>

<file path=xl/ctrlProps/ctrlProp69.xml><?xml version="1.0" encoding="utf-8"?>
<formControlPr xmlns="http://schemas.microsoft.com/office/spreadsheetml/2009/9/main" objectType="GBox" noThreeD="1"/>
</file>

<file path=xl/ctrlProps/ctrlProp70.xml><?xml version="1.0" encoding="utf-8"?>
<formControlPr xmlns="http://schemas.microsoft.com/office/spreadsheetml/2009/9/main" objectType="GBox" noThreeD="1"/>
</file>

<file path=xl/ctrlProps/ctrlProp71.xml><?xml version="1.0" encoding="utf-8"?>
<formControlPr xmlns="http://schemas.microsoft.com/office/spreadsheetml/2009/9/main" objectType="GBox" noThreeD="1"/>
</file>

<file path=xl/ctrlProps/ctrlProp72.xml><?xml version="1.0" encoding="utf-8"?>
<formControlPr xmlns="http://schemas.microsoft.com/office/spreadsheetml/2009/9/main" objectType="GBox" noThreeD="1"/>
</file>

<file path=xl/ctrlProps/ctrlProp73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596900</xdr:colOff>
          <xdr:row>7</xdr:row>
          <xdr:rowOff>0</xdr:rowOff>
        </xdr:from>
        <xdr:to>
          <xdr:col>5</xdr:col>
          <xdr:colOff>622300</xdr:colOff>
          <xdr:row>8</xdr:row>
          <xdr:rowOff>76200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596900</xdr:colOff>
          <xdr:row>9</xdr:row>
          <xdr:rowOff>0</xdr:rowOff>
        </xdr:from>
        <xdr:to>
          <xdr:col>5</xdr:col>
          <xdr:colOff>622300</xdr:colOff>
          <xdr:row>10</xdr:row>
          <xdr:rowOff>76200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596900</xdr:colOff>
          <xdr:row>10</xdr:row>
          <xdr:rowOff>190500</xdr:rowOff>
        </xdr:from>
        <xdr:to>
          <xdr:col>5</xdr:col>
          <xdr:colOff>622300</xdr:colOff>
          <xdr:row>12</xdr:row>
          <xdr:rowOff>50800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609600</xdr:colOff>
          <xdr:row>12</xdr:row>
          <xdr:rowOff>139700</xdr:rowOff>
        </xdr:from>
        <xdr:to>
          <xdr:col>5</xdr:col>
          <xdr:colOff>635000</xdr:colOff>
          <xdr:row>14</xdr:row>
          <xdr:rowOff>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609600</xdr:colOff>
          <xdr:row>14</xdr:row>
          <xdr:rowOff>139700</xdr:rowOff>
        </xdr:from>
        <xdr:to>
          <xdr:col>5</xdr:col>
          <xdr:colOff>635000</xdr:colOff>
          <xdr:row>16</xdr:row>
          <xdr:rowOff>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25400</xdr:colOff>
          <xdr:row>7</xdr:row>
          <xdr:rowOff>38100</xdr:rowOff>
        </xdr:from>
        <xdr:to>
          <xdr:col>3</xdr:col>
          <xdr:colOff>431800</xdr:colOff>
          <xdr:row>8</xdr:row>
          <xdr:rowOff>88900</xdr:rowOff>
        </xdr:to>
        <xdr:sp macro="" textlink="">
          <xdr:nvSpPr>
            <xdr:cNvPr id="2055" name="Labe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State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9</xdr:row>
          <xdr:rowOff>25400</xdr:rowOff>
        </xdr:from>
        <xdr:to>
          <xdr:col>3</xdr:col>
          <xdr:colOff>457200</xdr:colOff>
          <xdr:row>10</xdr:row>
          <xdr:rowOff>88900</xdr:rowOff>
        </xdr:to>
        <xdr:sp macro="" textlink="">
          <xdr:nvSpPr>
            <xdr:cNvPr id="2056" name="Labe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Customer Type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711200</xdr:colOff>
          <xdr:row>10</xdr:row>
          <xdr:rowOff>203200</xdr:rowOff>
        </xdr:from>
        <xdr:to>
          <xdr:col>3</xdr:col>
          <xdr:colOff>342900</xdr:colOff>
          <xdr:row>12</xdr:row>
          <xdr:rowOff>50800</xdr:rowOff>
        </xdr:to>
        <xdr:sp macro="" textlink="">
          <xdr:nvSpPr>
            <xdr:cNvPr id="2057" name="Labe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Channel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711200</xdr:colOff>
          <xdr:row>12</xdr:row>
          <xdr:rowOff>177800</xdr:rowOff>
        </xdr:from>
        <xdr:to>
          <xdr:col>3</xdr:col>
          <xdr:colOff>355600</xdr:colOff>
          <xdr:row>14</xdr:row>
          <xdr:rowOff>12700</xdr:rowOff>
        </xdr:to>
        <xdr:sp macro="" textlink="">
          <xdr:nvSpPr>
            <xdr:cNvPr id="2058" name="Labe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H Tactic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508000</xdr:colOff>
          <xdr:row>14</xdr:row>
          <xdr:rowOff>127000</xdr:rowOff>
        </xdr:from>
        <xdr:to>
          <xdr:col>3</xdr:col>
          <xdr:colOff>368300</xdr:colOff>
          <xdr:row>15</xdr:row>
          <xdr:rowOff>177800</xdr:rowOff>
        </xdr:to>
        <xdr:sp macro="" textlink="">
          <xdr:nvSpPr>
            <xdr:cNvPr id="2059" name="Labe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Detail Tactic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889000</xdr:colOff>
          <xdr:row>6</xdr:row>
          <xdr:rowOff>152400</xdr:rowOff>
        </xdr:from>
        <xdr:to>
          <xdr:col>8</xdr:col>
          <xdr:colOff>901700</xdr:colOff>
          <xdr:row>8</xdr:row>
          <xdr:rowOff>101600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ILP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889000</xdr:colOff>
          <xdr:row>8</xdr:row>
          <xdr:rowOff>152400</xdr:rowOff>
        </xdr:from>
        <xdr:to>
          <xdr:col>8</xdr:col>
          <xdr:colOff>901700</xdr:colOff>
          <xdr:row>10</xdr:row>
          <xdr:rowOff>101600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FLC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889000</xdr:colOff>
          <xdr:row>10</xdr:row>
          <xdr:rowOff>127000</xdr:rowOff>
        </xdr:from>
        <xdr:to>
          <xdr:col>8</xdr:col>
          <xdr:colOff>901700</xdr:colOff>
          <xdr:row>12</xdr:row>
          <xdr:rowOff>76200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Line of Credit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901700</xdr:colOff>
          <xdr:row>12</xdr:row>
          <xdr:rowOff>114300</xdr:rowOff>
        </xdr:from>
        <xdr:to>
          <xdr:col>9</xdr:col>
          <xdr:colOff>0</xdr:colOff>
          <xdr:row>14</xdr:row>
          <xdr:rowOff>63500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Payday Loan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889000</xdr:colOff>
          <xdr:row>14</xdr:row>
          <xdr:rowOff>76200</xdr:rowOff>
        </xdr:from>
        <xdr:to>
          <xdr:col>8</xdr:col>
          <xdr:colOff>901700</xdr:colOff>
          <xdr:row>16</xdr:row>
          <xdr:rowOff>25400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Not Funded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6</xdr:row>
          <xdr:rowOff>114300</xdr:rowOff>
        </xdr:from>
        <xdr:to>
          <xdr:col>9</xdr:col>
          <xdr:colOff>114300</xdr:colOff>
          <xdr:row>16</xdr:row>
          <xdr:rowOff>101600</xdr:rowOff>
        </xdr:to>
        <xdr:sp macro="" textlink="">
          <xdr:nvSpPr>
            <xdr:cNvPr id="2065" name="Group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Products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22</xdr:row>
          <xdr:rowOff>101600</xdr:rowOff>
        </xdr:from>
        <xdr:to>
          <xdr:col>7</xdr:col>
          <xdr:colOff>546100</xdr:colOff>
          <xdr:row>23</xdr:row>
          <xdr:rowOff>63500</xdr:rowOff>
        </xdr:to>
        <xdr:sp macro="" textlink="">
          <xdr:nvSpPr>
            <xdr:cNvPr id="2067" name="Scroll Bar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23</xdr:row>
          <xdr:rowOff>152400</xdr:rowOff>
        </xdr:from>
        <xdr:to>
          <xdr:col>7</xdr:col>
          <xdr:colOff>546100</xdr:colOff>
          <xdr:row>24</xdr:row>
          <xdr:rowOff>114300</xdr:rowOff>
        </xdr:to>
        <xdr:sp macro="" textlink="">
          <xdr:nvSpPr>
            <xdr:cNvPr id="2068" name="Scroll Bar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24</xdr:row>
          <xdr:rowOff>203200</xdr:rowOff>
        </xdr:from>
        <xdr:to>
          <xdr:col>7</xdr:col>
          <xdr:colOff>546100</xdr:colOff>
          <xdr:row>25</xdr:row>
          <xdr:rowOff>177800</xdr:rowOff>
        </xdr:to>
        <xdr:sp macro="" textlink="">
          <xdr:nvSpPr>
            <xdr:cNvPr id="2069" name="Scroll Bar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393700</xdr:colOff>
          <xdr:row>26</xdr:row>
          <xdr:rowOff>76200</xdr:rowOff>
        </xdr:from>
        <xdr:to>
          <xdr:col>7</xdr:col>
          <xdr:colOff>533400</xdr:colOff>
          <xdr:row>27</xdr:row>
          <xdr:rowOff>38100</xdr:rowOff>
        </xdr:to>
        <xdr:sp macro="" textlink="">
          <xdr:nvSpPr>
            <xdr:cNvPr id="2070" name="Scroll Bar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393700</xdr:colOff>
          <xdr:row>27</xdr:row>
          <xdr:rowOff>152400</xdr:rowOff>
        </xdr:from>
        <xdr:to>
          <xdr:col>7</xdr:col>
          <xdr:colOff>533400</xdr:colOff>
          <xdr:row>28</xdr:row>
          <xdr:rowOff>127000</xdr:rowOff>
        </xdr:to>
        <xdr:sp macro="" textlink="">
          <xdr:nvSpPr>
            <xdr:cNvPr id="2073" name="Scroll Bar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29</xdr:row>
          <xdr:rowOff>25400</xdr:rowOff>
        </xdr:from>
        <xdr:to>
          <xdr:col>7</xdr:col>
          <xdr:colOff>546100</xdr:colOff>
          <xdr:row>30</xdr:row>
          <xdr:rowOff>0</xdr:rowOff>
        </xdr:to>
        <xdr:sp macro="" textlink="">
          <xdr:nvSpPr>
            <xdr:cNvPr id="2074" name="Scroll Bar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482600</xdr:colOff>
          <xdr:row>22</xdr:row>
          <xdr:rowOff>50800</xdr:rowOff>
        </xdr:from>
        <xdr:to>
          <xdr:col>6</xdr:col>
          <xdr:colOff>342900</xdr:colOff>
          <xdr:row>23</xdr:row>
          <xdr:rowOff>101600</xdr:rowOff>
        </xdr:to>
        <xdr:sp macro="" textlink="">
          <xdr:nvSpPr>
            <xdr:cNvPr id="2079" name="Labe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Paid Search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546100</xdr:colOff>
          <xdr:row>23</xdr:row>
          <xdr:rowOff>101600</xdr:rowOff>
        </xdr:from>
        <xdr:to>
          <xdr:col>6</xdr:col>
          <xdr:colOff>406400</xdr:colOff>
          <xdr:row>24</xdr:row>
          <xdr:rowOff>152400</xdr:rowOff>
        </xdr:to>
        <xdr:sp macro="" textlink="">
          <xdr:nvSpPr>
            <xdr:cNvPr id="2080" name="Labe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Paid Social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571500</xdr:colOff>
          <xdr:row>24</xdr:row>
          <xdr:rowOff>152400</xdr:rowOff>
        </xdr:from>
        <xdr:to>
          <xdr:col>6</xdr:col>
          <xdr:colOff>431800</xdr:colOff>
          <xdr:row>25</xdr:row>
          <xdr:rowOff>203200</xdr:rowOff>
        </xdr:to>
        <xdr:sp macro="" textlink="">
          <xdr:nvSpPr>
            <xdr:cNvPr id="2081" name="Labe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Prescreen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26</xdr:row>
          <xdr:rowOff>25400</xdr:rowOff>
        </xdr:from>
        <xdr:to>
          <xdr:col>6</xdr:col>
          <xdr:colOff>381000</xdr:colOff>
          <xdr:row>27</xdr:row>
          <xdr:rowOff>76200</xdr:rowOff>
        </xdr:to>
        <xdr:sp macro="" textlink="">
          <xdr:nvSpPr>
            <xdr:cNvPr id="2082" name="Labe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Referrals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165100</xdr:colOff>
          <xdr:row>27</xdr:row>
          <xdr:rowOff>127000</xdr:rowOff>
        </xdr:from>
        <xdr:to>
          <xdr:col>6</xdr:col>
          <xdr:colOff>342900</xdr:colOff>
          <xdr:row>28</xdr:row>
          <xdr:rowOff>177800</xdr:rowOff>
        </xdr:to>
        <xdr:sp macro="" textlink="">
          <xdr:nvSpPr>
            <xdr:cNvPr id="2083" name="Labe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Lead Generation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393700</xdr:colOff>
          <xdr:row>28</xdr:row>
          <xdr:rowOff>203200</xdr:rowOff>
        </xdr:from>
        <xdr:to>
          <xdr:col>6</xdr:col>
          <xdr:colOff>330200</xdr:colOff>
          <xdr:row>30</xdr:row>
          <xdr:rowOff>38100</xdr:rowOff>
        </xdr:to>
        <xdr:sp macro="" textlink="">
          <xdr:nvSpPr>
            <xdr:cNvPr id="2084" name="Labe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Sweepstakes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32</xdr:row>
          <xdr:rowOff>38100</xdr:rowOff>
        </xdr:from>
        <xdr:to>
          <xdr:col>6</xdr:col>
          <xdr:colOff>355600</xdr:colOff>
          <xdr:row>33</xdr:row>
          <xdr:rowOff>88900</xdr:rowOff>
        </xdr:to>
        <xdr:sp macro="" textlink="">
          <xdr:nvSpPr>
            <xdr:cNvPr id="2085" name="Labe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Approval 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32</xdr:row>
          <xdr:rowOff>88900</xdr:rowOff>
        </xdr:from>
        <xdr:to>
          <xdr:col>7</xdr:col>
          <xdr:colOff>546100</xdr:colOff>
          <xdr:row>33</xdr:row>
          <xdr:rowOff>63500</xdr:rowOff>
        </xdr:to>
        <xdr:sp macro="" textlink="">
          <xdr:nvSpPr>
            <xdr:cNvPr id="2086" name="Scroll Bar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88900</xdr:colOff>
          <xdr:row>34</xdr:row>
          <xdr:rowOff>38100</xdr:rowOff>
        </xdr:from>
        <xdr:to>
          <xdr:col>6</xdr:col>
          <xdr:colOff>304800</xdr:colOff>
          <xdr:row>35</xdr:row>
          <xdr:rowOff>88900</xdr:rowOff>
        </xdr:to>
        <xdr:sp macro="" textlink="">
          <xdr:nvSpPr>
            <xdr:cNvPr id="2087" name="Labe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Origination 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34</xdr:row>
          <xdr:rowOff>50800</xdr:rowOff>
        </xdr:from>
        <xdr:to>
          <xdr:col>7</xdr:col>
          <xdr:colOff>558800</xdr:colOff>
          <xdr:row>35</xdr:row>
          <xdr:rowOff>25400</xdr:rowOff>
        </xdr:to>
        <xdr:sp macro="" textlink="">
          <xdr:nvSpPr>
            <xdr:cNvPr id="2088" name="Scroll Bar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21</xdr:row>
          <xdr:rowOff>76200</xdr:rowOff>
        </xdr:from>
        <xdr:to>
          <xdr:col>7</xdr:col>
          <xdr:colOff>660400</xdr:colOff>
          <xdr:row>30</xdr:row>
          <xdr:rowOff>127000</xdr:rowOff>
        </xdr:to>
        <xdr:sp macro="" textlink="">
          <xdr:nvSpPr>
            <xdr:cNvPr id="2089" name="Group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Marketing Levers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31</xdr:row>
          <xdr:rowOff>114300</xdr:rowOff>
        </xdr:from>
        <xdr:to>
          <xdr:col>7</xdr:col>
          <xdr:colOff>673100</xdr:colOff>
          <xdr:row>35</xdr:row>
          <xdr:rowOff>190500</xdr:rowOff>
        </xdr:to>
        <xdr:sp macro="" textlink="">
          <xdr:nvSpPr>
            <xdr:cNvPr id="2090" name="Group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Credit and Pricing Levers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520700</xdr:colOff>
          <xdr:row>22</xdr:row>
          <xdr:rowOff>76200</xdr:rowOff>
        </xdr:from>
        <xdr:to>
          <xdr:col>10</xdr:col>
          <xdr:colOff>660400</xdr:colOff>
          <xdr:row>23</xdr:row>
          <xdr:rowOff>38100</xdr:rowOff>
        </xdr:to>
        <xdr:sp macro="" textlink="">
          <xdr:nvSpPr>
            <xdr:cNvPr id="2092" name="Scroll Bar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520700</xdr:colOff>
          <xdr:row>23</xdr:row>
          <xdr:rowOff>127000</xdr:rowOff>
        </xdr:from>
        <xdr:to>
          <xdr:col>10</xdr:col>
          <xdr:colOff>660400</xdr:colOff>
          <xdr:row>24</xdr:row>
          <xdr:rowOff>88900</xdr:rowOff>
        </xdr:to>
        <xdr:sp macro="" textlink="">
          <xdr:nvSpPr>
            <xdr:cNvPr id="2093" name="Scroll Bar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520700</xdr:colOff>
          <xdr:row>24</xdr:row>
          <xdr:rowOff>177800</xdr:rowOff>
        </xdr:from>
        <xdr:to>
          <xdr:col>10</xdr:col>
          <xdr:colOff>660400</xdr:colOff>
          <xdr:row>25</xdr:row>
          <xdr:rowOff>152400</xdr:rowOff>
        </xdr:to>
        <xdr:sp macro="" textlink="">
          <xdr:nvSpPr>
            <xdr:cNvPr id="2094" name="Scroll Bar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508000</xdr:colOff>
          <xdr:row>26</xdr:row>
          <xdr:rowOff>50800</xdr:rowOff>
        </xdr:from>
        <xdr:to>
          <xdr:col>10</xdr:col>
          <xdr:colOff>647700</xdr:colOff>
          <xdr:row>27</xdr:row>
          <xdr:rowOff>12700</xdr:rowOff>
        </xdr:to>
        <xdr:sp macro="" textlink="">
          <xdr:nvSpPr>
            <xdr:cNvPr id="2095" name="Scroll Bar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508000</xdr:colOff>
          <xdr:row>27</xdr:row>
          <xdr:rowOff>127000</xdr:rowOff>
        </xdr:from>
        <xdr:to>
          <xdr:col>10</xdr:col>
          <xdr:colOff>647700</xdr:colOff>
          <xdr:row>28</xdr:row>
          <xdr:rowOff>101600</xdr:rowOff>
        </xdr:to>
        <xdr:sp macro="" textlink="">
          <xdr:nvSpPr>
            <xdr:cNvPr id="2096" name="Scroll Bar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520700</xdr:colOff>
          <xdr:row>29</xdr:row>
          <xdr:rowOff>0</xdr:rowOff>
        </xdr:from>
        <xdr:to>
          <xdr:col>10</xdr:col>
          <xdr:colOff>660400</xdr:colOff>
          <xdr:row>29</xdr:row>
          <xdr:rowOff>190500</xdr:rowOff>
        </xdr:to>
        <xdr:sp macro="" textlink="">
          <xdr:nvSpPr>
            <xdr:cNvPr id="2097" name="Scroll Bar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596900</xdr:colOff>
          <xdr:row>22</xdr:row>
          <xdr:rowOff>25400</xdr:rowOff>
        </xdr:from>
        <xdr:to>
          <xdr:col>9</xdr:col>
          <xdr:colOff>457200</xdr:colOff>
          <xdr:row>23</xdr:row>
          <xdr:rowOff>76200</xdr:rowOff>
        </xdr:to>
        <xdr:sp macro="" textlink="">
          <xdr:nvSpPr>
            <xdr:cNvPr id="2098" name="Labe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Paid Search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660400</xdr:colOff>
          <xdr:row>23</xdr:row>
          <xdr:rowOff>76200</xdr:rowOff>
        </xdr:from>
        <xdr:to>
          <xdr:col>9</xdr:col>
          <xdr:colOff>520700</xdr:colOff>
          <xdr:row>24</xdr:row>
          <xdr:rowOff>127000</xdr:rowOff>
        </xdr:to>
        <xdr:sp macro="" textlink="">
          <xdr:nvSpPr>
            <xdr:cNvPr id="2099" name="Labe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Paid Social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685800</xdr:colOff>
          <xdr:row>24</xdr:row>
          <xdr:rowOff>127000</xdr:rowOff>
        </xdr:from>
        <xdr:to>
          <xdr:col>9</xdr:col>
          <xdr:colOff>546100</xdr:colOff>
          <xdr:row>25</xdr:row>
          <xdr:rowOff>177800</xdr:rowOff>
        </xdr:to>
        <xdr:sp macro="" textlink="">
          <xdr:nvSpPr>
            <xdr:cNvPr id="2100" name="Labe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Prescreen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723900</xdr:colOff>
          <xdr:row>26</xdr:row>
          <xdr:rowOff>0</xdr:rowOff>
        </xdr:from>
        <xdr:to>
          <xdr:col>9</xdr:col>
          <xdr:colOff>495300</xdr:colOff>
          <xdr:row>27</xdr:row>
          <xdr:rowOff>50800</xdr:rowOff>
        </xdr:to>
        <xdr:sp macro="" textlink="">
          <xdr:nvSpPr>
            <xdr:cNvPr id="2101" name="Labe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Referrals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279400</xdr:colOff>
          <xdr:row>27</xdr:row>
          <xdr:rowOff>101600</xdr:rowOff>
        </xdr:from>
        <xdr:to>
          <xdr:col>9</xdr:col>
          <xdr:colOff>457200</xdr:colOff>
          <xdr:row>28</xdr:row>
          <xdr:rowOff>152400</xdr:rowOff>
        </xdr:to>
        <xdr:sp macro="" textlink="">
          <xdr:nvSpPr>
            <xdr:cNvPr id="2102" name="Labe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Lead Generation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508000</xdr:colOff>
          <xdr:row>28</xdr:row>
          <xdr:rowOff>177800</xdr:rowOff>
        </xdr:from>
        <xdr:to>
          <xdr:col>9</xdr:col>
          <xdr:colOff>444500</xdr:colOff>
          <xdr:row>30</xdr:row>
          <xdr:rowOff>12700</xdr:rowOff>
        </xdr:to>
        <xdr:sp macro="" textlink="">
          <xdr:nvSpPr>
            <xdr:cNvPr id="2103" name="Labe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Sweepstakes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342900</xdr:colOff>
          <xdr:row>32</xdr:row>
          <xdr:rowOff>12700</xdr:rowOff>
        </xdr:from>
        <xdr:to>
          <xdr:col>9</xdr:col>
          <xdr:colOff>469900</xdr:colOff>
          <xdr:row>33</xdr:row>
          <xdr:rowOff>63500</xdr:rowOff>
        </xdr:to>
        <xdr:sp macro="" textlink="">
          <xdr:nvSpPr>
            <xdr:cNvPr id="2104" name="Labe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Approval 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520700</xdr:colOff>
          <xdr:row>32</xdr:row>
          <xdr:rowOff>63500</xdr:rowOff>
        </xdr:from>
        <xdr:to>
          <xdr:col>10</xdr:col>
          <xdr:colOff>660400</xdr:colOff>
          <xdr:row>33</xdr:row>
          <xdr:rowOff>38100</xdr:rowOff>
        </xdr:to>
        <xdr:sp macro="" textlink="">
          <xdr:nvSpPr>
            <xdr:cNvPr id="2105" name="Scroll Bar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203200</xdr:colOff>
          <xdr:row>34</xdr:row>
          <xdr:rowOff>12700</xdr:rowOff>
        </xdr:from>
        <xdr:to>
          <xdr:col>9</xdr:col>
          <xdr:colOff>419100</xdr:colOff>
          <xdr:row>35</xdr:row>
          <xdr:rowOff>63500</xdr:rowOff>
        </xdr:to>
        <xdr:sp macro="" textlink="">
          <xdr:nvSpPr>
            <xdr:cNvPr id="2106" name="Labe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Origination 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533400</xdr:colOff>
          <xdr:row>34</xdr:row>
          <xdr:rowOff>25400</xdr:rowOff>
        </xdr:from>
        <xdr:to>
          <xdr:col>10</xdr:col>
          <xdr:colOff>673100</xdr:colOff>
          <xdr:row>35</xdr:row>
          <xdr:rowOff>0</xdr:rowOff>
        </xdr:to>
        <xdr:sp macro="" textlink="">
          <xdr:nvSpPr>
            <xdr:cNvPr id="2107" name="Scroll Bar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127000</xdr:colOff>
          <xdr:row>21</xdr:row>
          <xdr:rowOff>50800</xdr:rowOff>
        </xdr:from>
        <xdr:to>
          <xdr:col>10</xdr:col>
          <xdr:colOff>774700</xdr:colOff>
          <xdr:row>30</xdr:row>
          <xdr:rowOff>101600</xdr:rowOff>
        </xdr:to>
        <xdr:sp macro="" textlink="">
          <xdr:nvSpPr>
            <xdr:cNvPr id="2108" name="Group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Marketing Levers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647700</xdr:colOff>
          <xdr:row>22</xdr:row>
          <xdr:rowOff>101600</xdr:rowOff>
        </xdr:from>
        <xdr:to>
          <xdr:col>13</xdr:col>
          <xdr:colOff>787400</xdr:colOff>
          <xdr:row>23</xdr:row>
          <xdr:rowOff>63500</xdr:rowOff>
        </xdr:to>
        <xdr:sp macro="" textlink="">
          <xdr:nvSpPr>
            <xdr:cNvPr id="2110" name="Scroll Bar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647700</xdr:colOff>
          <xdr:row>23</xdr:row>
          <xdr:rowOff>152400</xdr:rowOff>
        </xdr:from>
        <xdr:to>
          <xdr:col>13</xdr:col>
          <xdr:colOff>787400</xdr:colOff>
          <xdr:row>24</xdr:row>
          <xdr:rowOff>114300</xdr:rowOff>
        </xdr:to>
        <xdr:sp macro="" textlink="">
          <xdr:nvSpPr>
            <xdr:cNvPr id="2111" name="Scroll Bar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647700</xdr:colOff>
          <xdr:row>24</xdr:row>
          <xdr:rowOff>203200</xdr:rowOff>
        </xdr:from>
        <xdr:to>
          <xdr:col>13</xdr:col>
          <xdr:colOff>787400</xdr:colOff>
          <xdr:row>25</xdr:row>
          <xdr:rowOff>177800</xdr:rowOff>
        </xdr:to>
        <xdr:sp macro="" textlink="">
          <xdr:nvSpPr>
            <xdr:cNvPr id="2112" name="Scroll Bar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635000</xdr:colOff>
          <xdr:row>26</xdr:row>
          <xdr:rowOff>76200</xdr:rowOff>
        </xdr:from>
        <xdr:to>
          <xdr:col>13</xdr:col>
          <xdr:colOff>774700</xdr:colOff>
          <xdr:row>27</xdr:row>
          <xdr:rowOff>38100</xdr:rowOff>
        </xdr:to>
        <xdr:sp macro="" textlink="">
          <xdr:nvSpPr>
            <xdr:cNvPr id="2113" name="Scroll Bar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635000</xdr:colOff>
          <xdr:row>27</xdr:row>
          <xdr:rowOff>152400</xdr:rowOff>
        </xdr:from>
        <xdr:to>
          <xdr:col>13</xdr:col>
          <xdr:colOff>774700</xdr:colOff>
          <xdr:row>28</xdr:row>
          <xdr:rowOff>127000</xdr:rowOff>
        </xdr:to>
        <xdr:sp macro="" textlink="">
          <xdr:nvSpPr>
            <xdr:cNvPr id="2114" name="Scroll Bar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647700</xdr:colOff>
          <xdr:row>29</xdr:row>
          <xdr:rowOff>25400</xdr:rowOff>
        </xdr:from>
        <xdr:to>
          <xdr:col>13</xdr:col>
          <xdr:colOff>787400</xdr:colOff>
          <xdr:row>30</xdr:row>
          <xdr:rowOff>0</xdr:rowOff>
        </xdr:to>
        <xdr:sp macro="" textlink="">
          <xdr:nvSpPr>
            <xdr:cNvPr id="2115" name="Scroll Bar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723900</xdr:colOff>
          <xdr:row>22</xdr:row>
          <xdr:rowOff>50800</xdr:rowOff>
        </xdr:from>
        <xdr:to>
          <xdr:col>12</xdr:col>
          <xdr:colOff>584200</xdr:colOff>
          <xdr:row>23</xdr:row>
          <xdr:rowOff>101600</xdr:rowOff>
        </xdr:to>
        <xdr:sp macro="" textlink="">
          <xdr:nvSpPr>
            <xdr:cNvPr id="2116" name="Labe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Paid Search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787400</xdr:colOff>
          <xdr:row>23</xdr:row>
          <xdr:rowOff>101600</xdr:rowOff>
        </xdr:from>
        <xdr:to>
          <xdr:col>12</xdr:col>
          <xdr:colOff>647700</xdr:colOff>
          <xdr:row>24</xdr:row>
          <xdr:rowOff>152400</xdr:rowOff>
        </xdr:to>
        <xdr:sp macro="" textlink="">
          <xdr:nvSpPr>
            <xdr:cNvPr id="2117" name="Labe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Paid Social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812800</xdr:colOff>
          <xdr:row>24</xdr:row>
          <xdr:rowOff>152400</xdr:rowOff>
        </xdr:from>
        <xdr:to>
          <xdr:col>12</xdr:col>
          <xdr:colOff>673100</xdr:colOff>
          <xdr:row>25</xdr:row>
          <xdr:rowOff>203200</xdr:rowOff>
        </xdr:to>
        <xdr:sp macro="" textlink="">
          <xdr:nvSpPr>
            <xdr:cNvPr id="2118" name="Labe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Prescreen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850900</xdr:colOff>
          <xdr:row>26</xdr:row>
          <xdr:rowOff>25400</xdr:rowOff>
        </xdr:from>
        <xdr:to>
          <xdr:col>12</xdr:col>
          <xdr:colOff>622300</xdr:colOff>
          <xdr:row>27</xdr:row>
          <xdr:rowOff>76200</xdr:rowOff>
        </xdr:to>
        <xdr:sp macro="" textlink="">
          <xdr:nvSpPr>
            <xdr:cNvPr id="2119" name="Labe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Referrals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406400</xdr:colOff>
          <xdr:row>27</xdr:row>
          <xdr:rowOff>127000</xdr:rowOff>
        </xdr:from>
        <xdr:to>
          <xdr:col>12</xdr:col>
          <xdr:colOff>584200</xdr:colOff>
          <xdr:row>28</xdr:row>
          <xdr:rowOff>177800</xdr:rowOff>
        </xdr:to>
        <xdr:sp macro="" textlink="">
          <xdr:nvSpPr>
            <xdr:cNvPr id="2120" name="Labe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Lead Generation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635000</xdr:colOff>
          <xdr:row>28</xdr:row>
          <xdr:rowOff>203200</xdr:rowOff>
        </xdr:from>
        <xdr:to>
          <xdr:col>12</xdr:col>
          <xdr:colOff>571500</xdr:colOff>
          <xdr:row>30</xdr:row>
          <xdr:rowOff>38100</xdr:rowOff>
        </xdr:to>
        <xdr:sp macro="" textlink="">
          <xdr:nvSpPr>
            <xdr:cNvPr id="2121" name="Labe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Sweepstakes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469900</xdr:colOff>
          <xdr:row>32</xdr:row>
          <xdr:rowOff>38100</xdr:rowOff>
        </xdr:from>
        <xdr:to>
          <xdr:col>12</xdr:col>
          <xdr:colOff>596900</xdr:colOff>
          <xdr:row>33</xdr:row>
          <xdr:rowOff>88900</xdr:rowOff>
        </xdr:to>
        <xdr:sp macro="" textlink="">
          <xdr:nvSpPr>
            <xdr:cNvPr id="2122" name="Labe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Approval 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647700</xdr:colOff>
          <xdr:row>32</xdr:row>
          <xdr:rowOff>88900</xdr:rowOff>
        </xdr:from>
        <xdr:to>
          <xdr:col>13</xdr:col>
          <xdr:colOff>787400</xdr:colOff>
          <xdr:row>33</xdr:row>
          <xdr:rowOff>63500</xdr:rowOff>
        </xdr:to>
        <xdr:sp macro="" textlink="">
          <xdr:nvSpPr>
            <xdr:cNvPr id="2123" name="Scroll Bar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330200</xdr:colOff>
          <xdr:row>34</xdr:row>
          <xdr:rowOff>38100</xdr:rowOff>
        </xdr:from>
        <xdr:to>
          <xdr:col>12</xdr:col>
          <xdr:colOff>546100</xdr:colOff>
          <xdr:row>35</xdr:row>
          <xdr:rowOff>88900</xdr:rowOff>
        </xdr:to>
        <xdr:sp macro="" textlink="">
          <xdr:nvSpPr>
            <xdr:cNvPr id="2124" name="Labe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Nunito Sans 12pt ExtraLight" charset="0"/>
                </a:rPr>
                <a:t>Origination 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660400</xdr:colOff>
          <xdr:row>34</xdr:row>
          <xdr:rowOff>50800</xdr:rowOff>
        </xdr:from>
        <xdr:to>
          <xdr:col>13</xdr:col>
          <xdr:colOff>800100</xdr:colOff>
          <xdr:row>35</xdr:row>
          <xdr:rowOff>25400</xdr:rowOff>
        </xdr:to>
        <xdr:sp macro="" textlink="">
          <xdr:nvSpPr>
            <xdr:cNvPr id="2125" name="Scroll Bar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254000</xdr:colOff>
          <xdr:row>21</xdr:row>
          <xdr:rowOff>76200</xdr:rowOff>
        </xdr:from>
        <xdr:to>
          <xdr:col>13</xdr:col>
          <xdr:colOff>901700</xdr:colOff>
          <xdr:row>30</xdr:row>
          <xdr:rowOff>127000</xdr:rowOff>
        </xdr:to>
        <xdr:sp macro="" textlink="">
          <xdr:nvSpPr>
            <xdr:cNvPr id="2126" name="Group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Marketing Levers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127000</xdr:colOff>
          <xdr:row>31</xdr:row>
          <xdr:rowOff>63500</xdr:rowOff>
        </xdr:from>
        <xdr:to>
          <xdr:col>10</xdr:col>
          <xdr:colOff>774700</xdr:colOff>
          <xdr:row>35</xdr:row>
          <xdr:rowOff>139700</xdr:rowOff>
        </xdr:to>
        <xdr:sp macro="" textlink="">
          <xdr:nvSpPr>
            <xdr:cNvPr id="2127" name="Group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Credit and Pricing Levers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254000</xdr:colOff>
          <xdr:row>31</xdr:row>
          <xdr:rowOff>50800</xdr:rowOff>
        </xdr:from>
        <xdr:to>
          <xdr:col>13</xdr:col>
          <xdr:colOff>901700</xdr:colOff>
          <xdr:row>35</xdr:row>
          <xdr:rowOff>127000</xdr:rowOff>
        </xdr:to>
        <xdr:sp macro="" textlink="">
          <xdr:nvSpPr>
            <xdr:cNvPr id="2128" name="Group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Credit and Pricing Levers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901700</xdr:colOff>
          <xdr:row>20</xdr:row>
          <xdr:rowOff>0</xdr:rowOff>
        </xdr:from>
        <xdr:to>
          <xdr:col>7</xdr:col>
          <xdr:colOff>736600</xdr:colOff>
          <xdr:row>36</xdr:row>
          <xdr:rowOff>76200</xdr:rowOff>
        </xdr:to>
        <xdr:sp macro="" textlink="">
          <xdr:nvSpPr>
            <xdr:cNvPr id="2130" name="Group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Scenario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19</xdr:row>
          <xdr:rowOff>190500</xdr:rowOff>
        </xdr:from>
        <xdr:to>
          <xdr:col>10</xdr:col>
          <xdr:colOff>838200</xdr:colOff>
          <xdr:row>36</xdr:row>
          <xdr:rowOff>50800</xdr:rowOff>
        </xdr:to>
        <xdr:sp macro="" textlink="">
          <xdr:nvSpPr>
            <xdr:cNvPr id="2131" name="Group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Scenario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177800</xdr:colOff>
          <xdr:row>19</xdr:row>
          <xdr:rowOff>203200</xdr:rowOff>
        </xdr:from>
        <xdr:to>
          <xdr:col>14</xdr:col>
          <xdr:colOff>12700</xdr:colOff>
          <xdr:row>36</xdr:row>
          <xdr:rowOff>63500</xdr:rowOff>
        </xdr:to>
        <xdr:sp macro="" textlink="">
          <xdr:nvSpPr>
            <xdr:cNvPr id="2132" name="Group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Scenario 3</a:t>
              </a:r>
            </a:p>
          </xdr:txBody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2A3ED-C744-EE41-9A4B-B91888C4DCC1}" name="calendar" displayName="calendar" ref="A1:I366" totalsRowShown="0">
  <autoFilter ref="A1:I366" xr:uid="{7E5FF34E-F103-C54A-A8F8-779D9BA44B4F}"/>
  <tableColumns count="9">
    <tableColumn id="1" xr3:uid="{D24C894B-485E-1F4C-8925-7C5DDEE5D4E9}" name="date" dataDxfId="5">
      <calculatedColumnFormula>A1+1</calculatedColumnFormula>
    </tableColumn>
    <tableColumn id="6" xr3:uid="{E39A502C-A2BF-AF4F-8D57-7AED04809B2D}" name="dateText" dataDxfId="4">
      <calculatedColumnFormula>TEXT(calendar[[#This Row],[date]], "yymmdd")</calculatedColumnFormula>
    </tableColumn>
    <tableColumn id="9" xr3:uid="{BFC6BF59-5287-2143-A8F5-20CE722068F0}" name="monthsFromJan2024" dataDxfId="3" dataCellStyle="Comma">
      <calculatedColumnFormula>DATEDIF("1/1/2024", calendar[[#This Row],[date]], "M")</calculatedColumnFormula>
    </tableColumn>
    <tableColumn id="7" xr3:uid="{47C78817-7966-4E40-9BAA-18A182C17F39}" name="dayOfMonth" dataDxfId="2">
      <calculatedColumnFormula>TEXT(calendar[[#This Row],[date]], "dd")</calculatedColumnFormula>
    </tableColumn>
    <tableColumn id="8" xr3:uid="{8E7477B4-96FE-E049-92C3-E730F7ADBFAF}" name="isWeekday" dataDxfId="1" dataCellStyle="Comma">
      <calculatedColumnFormula>IF(OR(WEEKDAY(calendar[[#This Row],[date]])= 1, WEEKDAY(calendar[[#This Row],[date]])=7), 0, 1)</calculatedColumnFormula>
    </tableColumn>
    <tableColumn id="2" xr3:uid="{4EDD7AD9-2AE0-3F4E-8327-A2272193C4F5}" name="weekNum">
      <calculatedColumnFormula>_xlfn.ISOWEEKNUM(A2)</calculatedColumnFormula>
    </tableColumn>
    <tableColumn id="3" xr3:uid="{DB99B69E-6A1B-FA49-A904-0E7530E34729}" name="ym">
      <calculatedColumnFormula>TEXT(A2, "yyyymm")</calculatedColumnFormula>
    </tableColumn>
    <tableColumn id="4" xr3:uid="{468AA3F7-511B-454A-BF1E-4B6FBFA341B7}" name="workingDays" dataDxfId="0" dataCellStyle="Comma">
      <calculatedColumnFormula>NETWORKDAYS(EOMONTH(A2,-1)+1,EOMONTH(A2,0), L$2:L$11)</calculatedColumnFormula>
    </tableColumn>
    <tableColumn id="5" xr3:uid="{655E0CB6-3035-A748-A6BF-76678D153031}" name="weeksInMonth">
      <calculatedColumnFormula>H2/5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AF2098-3BE4-974D-81B0-0F15F543425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3fb33c6-b962-47d5-bc5c-68b71317970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66" Type="http://schemas.openxmlformats.org/officeDocument/2006/relationships/ctrlProp" Target="../ctrlProps/ctrlProp64.xml"/><Relationship Id="rId74" Type="http://schemas.openxmlformats.org/officeDocument/2006/relationships/ctrlProp" Target="../ctrlProps/ctrlProp72.xml"/><Relationship Id="rId5" Type="http://schemas.openxmlformats.org/officeDocument/2006/relationships/ctrlProp" Target="../ctrlProps/ctrlProp3.xml"/><Relationship Id="rId61" Type="http://schemas.openxmlformats.org/officeDocument/2006/relationships/ctrlProp" Target="../ctrlProps/ctrlProp59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6FA4-F3E5-3B4A-BF97-5EBCBD2A333B}">
  <sheetPr codeName="Sheet1"/>
  <dimension ref="A1:N366"/>
  <sheetViews>
    <sheetView workbookViewId="0">
      <selection activeCell="E2" sqref="E2"/>
    </sheetView>
  </sheetViews>
  <sheetFormatPr defaultColWidth="11.5546875" defaultRowHeight="17.100000000000001"/>
  <cols>
    <col min="1" max="1" width="10.6640625" style="3"/>
    <col min="2" max="3" width="11.109375" customWidth="1"/>
    <col min="5" max="5" width="10.6640625" style="1"/>
    <col min="6" max="6" width="14.5546875" style="2" customWidth="1"/>
    <col min="7" max="7" width="14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L1" t="s">
        <v>9</v>
      </c>
    </row>
    <row r="2" spans="1:14">
      <c r="A2" s="3">
        <v>46082</v>
      </c>
      <c r="B2" s="3" t="str">
        <f>TEXT(calendar[[#This Row],[date]], "yymmdd")</f>
        <v>260301</v>
      </c>
      <c r="C2" s="4">
        <f>DATEDIF("1/1/2024", calendar[[#This Row],[date]], "M")</f>
        <v>26</v>
      </c>
      <c r="D2" s="3" t="str">
        <f>TEXT(calendar[[#This Row],[date]], "dd")</f>
        <v>01</v>
      </c>
      <c r="E2" s="1">
        <f>IF(OR(WEEKDAY(calendar[[#This Row],[date]])= 1, WEEKDAY(calendar[[#This Row],[date]])=7), 0, 1)</f>
        <v>0</v>
      </c>
      <c r="F2">
        <f t="shared" ref="F2:F65" si="0">_xlfn.ISOWEEKNUM(A2)</f>
        <v>9</v>
      </c>
      <c r="G2" t="str">
        <f t="shared" ref="G2:G65" si="1">TEXT(A2, "yyyymm")</f>
        <v>202603</v>
      </c>
      <c r="H2" s="5">
        <f t="shared" ref="H2:H65" si="2">NETWORKDAYS(EOMONTH(A2,-1)+1,EOMONTH(A2,0), L$2:L$11)</f>
        <v>22</v>
      </c>
      <c r="I2">
        <f>H2/5</f>
        <v>4.4000000000000004</v>
      </c>
      <c r="L2" s="3">
        <v>46023</v>
      </c>
      <c r="N2" t="e">
        <f>DATEDIF(L2, "01/01/2024", "M")</f>
        <v>#NUM!</v>
      </c>
    </row>
    <row r="3" spans="1:14">
      <c r="A3" s="3">
        <f>A2+1</f>
        <v>46083</v>
      </c>
      <c r="B3" s="3" t="str">
        <f>TEXT(calendar[[#This Row],[date]], "yymmdd")</f>
        <v>260302</v>
      </c>
      <c r="C3" s="4">
        <f>DATEDIF("1/1/2024", calendar[[#This Row],[date]], "M")</f>
        <v>26</v>
      </c>
      <c r="D3" s="3" t="str">
        <f>TEXT(calendar[[#This Row],[date]], "dd")</f>
        <v>02</v>
      </c>
      <c r="E3" s="1">
        <f>IF(OR(WEEKDAY(calendar[[#This Row],[date]])= 1, WEEKDAY(calendar[[#This Row],[date]])=7), 0, 1)</f>
        <v>1</v>
      </c>
      <c r="F3">
        <f t="shared" si="0"/>
        <v>10</v>
      </c>
      <c r="G3" t="str">
        <f t="shared" si="1"/>
        <v>202603</v>
      </c>
      <c r="H3" s="5">
        <f t="shared" si="2"/>
        <v>22</v>
      </c>
      <c r="I3">
        <f t="shared" ref="I3:I66" si="3">H3/5</f>
        <v>4.4000000000000004</v>
      </c>
      <c r="L3" s="3">
        <v>46041</v>
      </c>
    </row>
    <row r="4" spans="1:14">
      <c r="A4" s="3">
        <f t="shared" ref="A4:A67" si="4">A3+1</f>
        <v>46084</v>
      </c>
      <c r="B4" s="3" t="str">
        <f>TEXT(calendar[[#This Row],[date]], "yymmdd")</f>
        <v>260303</v>
      </c>
      <c r="C4" s="4">
        <f>DATEDIF("1/1/2024", calendar[[#This Row],[date]], "M")</f>
        <v>26</v>
      </c>
      <c r="D4" s="3" t="str">
        <f>TEXT(calendar[[#This Row],[date]], "dd")</f>
        <v>03</v>
      </c>
      <c r="E4" s="1">
        <f>IF(OR(WEEKDAY(calendar[[#This Row],[date]])= 1, WEEKDAY(calendar[[#This Row],[date]])=7), 0, 1)</f>
        <v>1</v>
      </c>
      <c r="F4">
        <f t="shared" si="0"/>
        <v>10</v>
      </c>
      <c r="G4" t="str">
        <f t="shared" si="1"/>
        <v>202603</v>
      </c>
      <c r="H4" s="5">
        <f t="shared" si="2"/>
        <v>22</v>
      </c>
      <c r="I4">
        <f t="shared" si="3"/>
        <v>4.4000000000000004</v>
      </c>
      <c r="L4" s="3">
        <v>46069</v>
      </c>
    </row>
    <row r="5" spans="1:14">
      <c r="A5" s="3">
        <f>A4+1</f>
        <v>46085</v>
      </c>
      <c r="B5" s="3" t="str">
        <f>TEXT(calendar[[#This Row],[date]], "yymmdd")</f>
        <v>260304</v>
      </c>
      <c r="C5" s="4">
        <f>DATEDIF("1/1/2024", calendar[[#This Row],[date]], "M")</f>
        <v>26</v>
      </c>
      <c r="D5" s="3" t="str">
        <f>TEXT(calendar[[#This Row],[date]], "dd")</f>
        <v>04</v>
      </c>
      <c r="E5" s="1">
        <f>IF(OR(WEEKDAY(calendar[[#This Row],[date]])= 1, WEEKDAY(calendar[[#This Row],[date]])=7), 0, 1)</f>
        <v>1</v>
      </c>
      <c r="F5">
        <f t="shared" si="0"/>
        <v>10</v>
      </c>
      <c r="G5" t="str">
        <f t="shared" si="1"/>
        <v>202603</v>
      </c>
      <c r="H5" s="5">
        <f t="shared" si="2"/>
        <v>22</v>
      </c>
      <c r="I5">
        <f t="shared" si="3"/>
        <v>4.4000000000000004</v>
      </c>
      <c r="L5" s="3">
        <v>46167</v>
      </c>
    </row>
    <row r="6" spans="1:14">
      <c r="A6" s="3">
        <f t="shared" si="4"/>
        <v>46086</v>
      </c>
      <c r="B6" s="3" t="str">
        <f>TEXT(calendar[[#This Row],[date]], "yymmdd")</f>
        <v>260305</v>
      </c>
      <c r="C6" s="4">
        <f>DATEDIF("1/1/2024", calendar[[#This Row],[date]], "M")</f>
        <v>26</v>
      </c>
      <c r="D6" s="3" t="str">
        <f>TEXT(calendar[[#This Row],[date]], "dd")</f>
        <v>05</v>
      </c>
      <c r="E6" s="1">
        <f>IF(OR(WEEKDAY(calendar[[#This Row],[date]])= 1, WEEKDAY(calendar[[#This Row],[date]])=7), 0, 1)</f>
        <v>1</v>
      </c>
      <c r="F6">
        <f t="shared" si="0"/>
        <v>10</v>
      </c>
      <c r="G6" t="str">
        <f t="shared" si="1"/>
        <v>202603</v>
      </c>
      <c r="H6" s="5">
        <f t="shared" si="2"/>
        <v>22</v>
      </c>
      <c r="I6">
        <f t="shared" si="3"/>
        <v>4.4000000000000004</v>
      </c>
      <c r="L6" s="3">
        <v>46192</v>
      </c>
    </row>
    <row r="7" spans="1:14">
      <c r="A7" s="3">
        <f t="shared" si="4"/>
        <v>46087</v>
      </c>
      <c r="B7" s="3" t="str">
        <f>TEXT(calendar[[#This Row],[date]], "yymmdd")</f>
        <v>260306</v>
      </c>
      <c r="C7" s="4">
        <f>DATEDIF("1/1/2024", calendar[[#This Row],[date]], "M")</f>
        <v>26</v>
      </c>
      <c r="D7" s="3" t="str">
        <f>TEXT(calendar[[#This Row],[date]], "dd")</f>
        <v>06</v>
      </c>
      <c r="E7" s="1">
        <f>IF(OR(WEEKDAY(calendar[[#This Row],[date]])= 1, WEEKDAY(calendar[[#This Row],[date]])=7), 0, 1)</f>
        <v>1</v>
      </c>
      <c r="F7">
        <f t="shared" si="0"/>
        <v>10</v>
      </c>
      <c r="G7" t="str">
        <f t="shared" si="1"/>
        <v>202603</v>
      </c>
      <c r="H7" s="5">
        <f t="shared" si="2"/>
        <v>22</v>
      </c>
      <c r="I7">
        <f t="shared" si="3"/>
        <v>4.4000000000000004</v>
      </c>
      <c r="L7" s="3">
        <v>46206</v>
      </c>
    </row>
    <row r="8" spans="1:14">
      <c r="A8" s="3">
        <f t="shared" si="4"/>
        <v>46088</v>
      </c>
      <c r="B8" s="3" t="str">
        <f>TEXT(calendar[[#This Row],[date]], "yymmdd")</f>
        <v>260307</v>
      </c>
      <c r="C8" s="4">
        <f>DATEDIF("1/1/2024", calendar[[#This Row],[date]], "M")</f>
        <v>26</v>
      </c>
      <c r="D8" s="3" t="str">
        <f>TEXT(calendar[[#This Row],[date]], "dd")</f>
        <v>07</v>
      </c>
      <c r="E8" s="1">
        <f>IF(OR(WEEKDAY(calendar[[#This Row],[date]])= 1, WEEKDAY(calendar[[#This Row],[date]])=7), 0, 1)</f>
        <v>0</v>
      </c>
      <c r="F8">
        <f t="shared" si="0"/>
        <v>10</v>
      </c>
      <c r="G8" t="str">
        <f t="shared" si="1"/>
        <v>202603</v>
      </c>
      <c r="H8" s="5">
        <f t="shared" si="2"/>
        <v>22</v>
      </c>
      <c r="I8">
        <f t="shared" si="3"/>
        <v>4.4000000000000004</v>
      </c>
      <c r="L8" s="3">
        <v>46272</v>
      </c>
    </row>
    <row r="9" spans="1:14">
      <c r="A9" s="3">
        <f t="shared" si="4"/>
        <v>46089</v>
      </c>
      <c r="B9" s="3" t="str">
        <f>TEXT(calendar[[#This Row],[date]], "yymmdd")</f>
        <v>260308</v>
      </c>
      <c r="C9" s="4">
        <f>DATEDIF("1/1/2024", calendar[[#This Row],[date]], "M")</f>
        <v>26</v>
      </c>
      <c r="D9" s="3" t="str">
        <f>TEXT(calendar[[#This Row],[date]], "dd")</f>
        <v>08</v>
      </c>
      <c r="E9" s="1">
        <f>IF(OR(WEEKDAY(calendar[[#This Row],[date]])= 1, WEEKDAY(calendar[[#This Row],[date]])=7), 0, 1)</f>
        <v>0</v>
      </c>
      <c r="F9">
        <f t="shared" si="0"/>
        <v>10</v>
      </c>
      <c r="G9" t="str">
        <f t="shared" si="1"/>
        <v>202603</v>
      </c>
      <c r="H9" s="5">
        <f t="shared" si="2"/>
        <v>22</v>
      </c>
      <c r="I9">
        <f t="shared" si="3"/>
        <v>4.4000000000000004</v>
      </c>
      <c r="L9" s="3">
        <v>46337</v>
      </c>
    </row>
    <row r="10" spans="1:14">
      <c r="A10" s="3">
        <f t="shared" si="4"/>
        <v>46090</v>
      </c>
      <c r="B10" s="3" t="str">
        <f>TEXT(calendar[[#This Row],[date]], "yymmdd")</f>
        <v>260309</v>
      </c>
      <c r="C10" s="4">
        <f>DATEDIF("1/1/2024", calendar[[#This Row],[date]], "M")</f>
        <v>26</v>
      </c>
      <c r="D10" s="3" t="str">
        <f>TEXT(calendar[[#This Row],[date]], "dd")</f>
        <v>09</v>
      </c>
      <c r="E10" s="1">
        <f>IF(OR(WEEKDAY(calendar[[#This Row],[date]])= 1, WEEKDAY(calendar[[#This Row],[date]])=7), 0, 1)</f>
        <v>1</v>
      </c>
      <c r="F10">
        <f t="shared" si="0"/>
        <v>11</v>
      </c>
      <c r="G10" t="str">
        <f t="shared" si="1"/>
        <v>202603</v>
      </c>
      <c r="H10" s="5">
        <f t="shared" si="2"/>
        <v>22</v>
      </c>
      <c r="I10">
        <f t="shared" si="3"/>
        <v>4.4000000000000004</v>
      </c>
      <c r="L10" s="3">
        <v>46352</v>
      </c>
    </row>
    <row r="11" spans="1:14">
      <c r="A11" s="3">
        <f t="shared" si="4"/>
        <v>46091</v>
      </c>
      <c r="B11" s="3" t="str">
        <f>TEXT(calendar[[#This Row],[date]], "yymmdd")</f>
        <v>260310</v>
      </c>
      <c r="C11" s="4">
        <f>DATEDIF("1/1/2024", calendar[[#This Row],[date]], "M")</f>
        <v>26</v>
      </c>
      <c r="D11" s="3" t="str">
        <f>TEXT(calendar[[#This Row],[date]], "dd")</f>
        <v>10</v>
      </c>
      <c r="E11" s="1">
        <f>IF(OR(WEEKDAY(calendar[[#This Row],[date]])= 1, WEEKDAY(calendar[[#This Row],[date]])=7), 0, 1)</f>
        <v>1</v>
      </c>
      <c r="F11">
        <f t="shared" si="0"/>
        <v>11</v>
      </c>
      <c r="G11" t="str">
        <f t="shared" si="1"/>
        <v>202603</v>
      </c>
      <c r="H11" s="5">
        <f t="shared" si="2"/>
        <v>22</v>
      </c>
      <c r="I11">
        <f t="shared" si="3"/>
        <v>4.4000000000000004</v>
      </c>
      <c r="L11" s="3">
        <v>46381</v>
      </c>
    </row>
    <row r="12" spans="1:14">
      <c r="A12" s="3">
        <f t="shared" si="4"/>
        <v>46092</v>
      </c>
      <c r="B12" s="3" t="str">
        <f>TEXT(calendar[[#This Row],[date]], "yymmdd")</f>
        <v>260311</v>
      </c>
      <c r="C12" s="4">
        <f>DATEDIF("1/1/2024", calendar[[#This Row],[date]], "M")</f>
        <v>26</v>
      </c>
      <c r="D12" s="3" t="str">
        <f>TEXT(calendar[[#This Row],[date]], "dd")</f>
        <v>11</v>
      </c>
      <c r="E12" s="1">
        <f>IF(OR(WEEKDAY(calendar[[#This Row],[date]])= 1, WEEKDAY(calendar[[#This Row],[date]])=7), 0, 1)</f>
        <v>1</v>
      </c>
      <c r="F12">
        <f t="shared" si="0"/>
        <v>11</v>
      </c>
      <c r="G12" t="str">
        <f t="shared" si="1"/>
        <v>202603</v>
      </c>
      <c r="H12" s="5">
        <f t="shared" si="2"/>
        <v>22</v>
      </c>
      <c r="I12">
        <f t="shared" si="3"/>
        <v>4.4000000000000004</v>
      </c>
    </row>
    <row r="13" spans="1:14">
      <c r="A13" s="3">
        <f t="shared" si="4"/>
        <v>46093</v>
      </c>
      <c r="B13" s="3" t="str">
        <f>TEXT(calendar[[#This Row],[date]], "yymmdd")</f>
        <v>260312</v>
      </c>
      <c r="C13" s="4">
        <f>DATEDIF("1/1/2024", calendar[[#This Row],[date]], "M")</f>
        <v>26</v>
      </c>
      <c r="D13" s="3" t="str">
        <f>TEXT(calendar[[#This Row],[date]], "dd")</f>
        <v>12</v>
      </c>
      <c r="E13" s="1">
        <f>IF(OR(WEEKDAY(calendar[[#This Row],[date]])= 1, WEEKDAY(calendar[[#This Row],[date]])=7), 0, 1)</f>
        <v>1</v>
      </c>
      <c r="F13">
        <f t="shared" si="0"/>
        <v>11</v>
      </c>
      <c r="G13" t="str">
        <f t="shared" si="1"/>
        <v>202603</v>
      </c>
      <c r="H13" s="5">
        <f t="shared" si="2"/>
        <v>22</v>
      </c>
      <c r="I13">
        <f t="shared" si="3"/>
        <v>4.4000000000000004</v>
      </c>
    </row>
    <row r="14" spans="1:14">
      <c r="A14" s="3">
        <f t="shared" si="4"/>
        <v>46094</v>
      </c>
      <c r="B14" s="3" t="str">
        <f>TEXT(calendar[[#This Row],[date]], "yymmdd")</f>
        <v>260313</v>
      </c>
      <c r="C14" s="4">
        <f>DATEDIF("1/1/2024", calendar[[#This Row],[date]], "M")</f>
        <v>26</v>
      </c>
      <c r="D14" s="3" t="str">
        <f>TEXT(calendar[[#This Row],[date]], "dd")</f>
        <v>13</v>
      </c>
      <c r="E14" s="1">
        <f>IF(OR(WEEKDAY(calendar[[#This Row],[date]])= 1, WEEKDAY(calendar[[#This Row],[date]])=7), 0, 1)</f>
        <v>1</v>
      </c>
      <c r="F14">
        <f t="shared" si="0"/>
        <v>11</v>
      </c>
      <c r="G14" t="str">
        <f t="shared" si="1"/>
        <v>202603</v>
      </c>
      <c r="H14" s="5">
        <f t="shared" si="2"/>
        <v>22</v>
      </c>
      <c r="I14">
        <f t="shared" si="3"/>
        <v>4.4000000000000004</v>
      </c>
    </row>
    <row r="15" spans="1:14">
      <c r="A15" s="3">
        <f t="shared" si="4"/>
        <v>46095</v>
      </c>
      <c r="B15" s="3" t="str">
        <f>TEXT(calendar[[#This Row],[date]], "yymmdd")</f>
        <v>260314</v>
      </c>
      <c r="C15" s="4">
        <f>DATEDIF("1/1/2024", calendar[[#This Row],[date]], "M")</f>
        <v>26</v>
      </c>
      <c r="D15" s="3" t="str">
        <f>TEXT(calendar[[#This Row],[date]], "dd")</f>
        <v>14</v>
      </c>
      <c r="E15" s="1">
        <f>IF(OR(WEEKDAY(calendar[[#This Row],[date]])= 1, WEEKDAY(calendar[[#This Row],[date]])=7), 0, 1)</f>
        <v>0</v>
      </c>
      <c r="F15">
        <f t="shared" si="0"/>
        <v>11</v>
      </c>
      <c r="G15" t="str">
        <f t="shared" si="1"/>
        <v>202603</v>
      </c>
      <c r="H15" s="5">
        <f t="shared" si="2"/>
        <v>22</v>
      </c>
      <c r="I15">
        <f t="shared" si="3"/>
        <v>4.4000000000000004</v>
      </c>
    </row>
    <row r="16" spans="1:14">
      <c r="A16" s="3">
        <f t="shared" si="4"/>
        <v>46096</v>
      </c>
      <c r="B16" s="3" t="str">
        <f>TEXT(calendar[[#This Row],[date]], "yymmdd")</f>
        <v>260315</v>
      </c>
      <c r="C16" s="4">
        <f>DATEDIF("1/1/2024", calendar[[#This Row],[date]], "M")</f>
        <v>26</v>
      </c>
      <c r="D16" s="3" t="str">
        <f>TEXT(calendar[[#This Row],[date]], "dd")</f>
        <v>15</v>
      </c>
      <c r="E16" s="1">
        <f>IF(OR(WEEKDAY(calendar[[#This Row],[date]])= 1, WEEKDAY(calendar[[#This Row],[date]])=7), 0, 1)</f>
        <v>0</v>
      </c>
      <c r="F16">
        <f t="shared" si="0"/>
        <v>11</v>
      </c>
      <c r="G16" t="str">
        <f t="shared" si="1"/>
        <v>202603</v>
      </c>
      <c r="H16" s="5">
        <f t="shared" si="2"/>
        <v>22</v>
      </c>
      <c r="I16">
        <f t="shared" si="3"/>
        <v>4.4000000000000004</v>
      </c>
    </row>
    <row r="17" spans="1:9">
      <c r="A17" s="3">
        <f t="shared" si="4"/>
        <v>46097</v>
      </c>
      <c r="B17" s="3" t="str">
        <f>TEXT(calendar[[#This Row],[date]], "yymmdd")</f>
        <v>260316</v>
      </c>
      <c r="C17" s="4">
        <f>DATEDIF("1/1/2024", calendar[[#This Row],[date]], "M")</f>
        <v>26</v>
      </c>
      <c r="D17" s="3" t="str">
        <f>TEXT(calendar[[#This Row],[date]], "dd")</f>
        <v>16</v>
      </c>
      <c r="E17" s="1">
        <f>IF(OR(WEEKDAY(calendar[[#This Row],[date]])= 1, WEEKDAY(calendar[[#This Row],[date]])=7), 0, 1)</f>
        <v>1</v>
      </c>
      <c r="F17">
        <f t="shared" si="0"/>
        <v>12</v>
      </c>
      <c r="G17" t="str">
        <f t="shared" si="1"/>
        <v>202603</v>
      </c>
      <c r="H17" s="5">
        <f t="shared" si="2"/>
        <v>22</v>
      </c>
      <c r="I17">
        <f t="shared" si="3"/>
        <v>4.4000000000000004</v>
      </c>
    </row>
    <row r="18" spans="1:9">
      <c r="A18" s="3">
        <f t="shared" si="4"/>
        <v>46098</v>
      </c>
      <c r="B18" s="3" t="str">
        <f>TEXT(calendar[[#This Row],[date]], "yymmdd")</f>
        <v>260317</v>
      </c>
      <c r="C18" s="4">
        <f>DATEDIF("1/1/2024", calendar[[#This Row],[date]], "M")</f>
        <v>26</v>
      </c>
      <c r="D18" s="3" t="str">
        <f>TEXT(calendar[[#This Row],[date]], "dd")</f>
        <v>17</v>
      </c>
      <c r="E18" s="1">
        <f>IF(OR(WEEKDAY(calendar[[#This Row],[date]])= 1, WEEKDAY(calendar[[#This Row],[date]])=7), 0, 1)</f>
        <v>1</v>
      </c>
      <c r="F18">
        <f t="shared" si="0"/>
        <v>12</v>
      </c>
      <c r="G18" t="str">
        <f t="shared" si="1"/>
        <v>202603</v>
      </c>
      <c r="H18" s="5">
        <f t="shared" si="2"/>
        <v>22</v>
      </c>
      <c r="I18">
        <f t="shared" si="3"/>
        <v>4.4000000000000004</v>
      </c>
    </row>
    <row r="19" spans="1:9">
      <c r="A19" s="3">
        <f t="shared" si="4"/>
        <v>46099</v>
      </c>
      <c r="B19" s="3" t="str">
        <f>TEXT(calendar[[#This Row],[date]], "yymmdd")</f>
        <v>260318</v>
      </c>
      <c r="C19" s="4">
        <f>DATEDIF("1/1/2024", calendar[[#This Row],[date]], "M")</f>
        <v>26</v>
      </c>
      <c r="D19" s="3" t="str">
        <f>TEXT(calendar[[#This Row],[date]], "dd")</f>
        <v>18</v>
      </c>
      <c r="E19" s="1">
        <f>IF(OR(WEEKDAY(calendar[[#This Row],[date]])= 1, WEEKDAY(calendar[[#This Row],[date]])=7), 0, 1)</f>
        <v>1</v>
      </c>
      <c r="F19">
        <f t="shared" si="0"/>
        <v>12</v>
      </c>
      <c r="G19" t="str">
        <f t="shared" si="1"/>
        <v>202603</v>
      </c>
      <c r="H19" s="5">
        <f t="shared" si="2"/>
        <v>22</v>
      </c>
      <c r="I19">
        <f t="shared" si="3"/>
        <v>4.4000000000000004</v>
      </c>
    </row>
    <row r="20" spans="1:9">
      <c r="A20" s="3">
        <f t="shared" si="4"/>
        <v>46100</v>
      </c>
      <c r="B20" s="3" t="str">
        <f>TEXT(calendar[[#This Row],[date]], "yymmdd")</f>
        <v>260319</v>
      </c>
      <c r="C20" s="4">
        <f>DATEDIF("1/1/2024", calendar[[#This Row],[date]], "M")</f>
        <v>26</v>
      </c>
      <c r="D20" s="3" t="str">
        <f>TEXT(calendar[[#This Row],[date]], "dd")</f>
        <v>19</v>
      </c>
      <c r="E20" s="1">
        <f>IF(OR(WEEKDAY(calendar[[#This Row],[date]])= 1, WEEKDAY(calendar[[#This Row],[date]])=7), 0, 1)</f>
        <v>1</v>
      </c>
      <c r="F20">
        <f t="shared" si="0"/>
        <v>12</v>
      </c>
      <c r="G20" t="str">
        <f t="shared" si="1"/>
        <v>202603</v>
      </c>
      <c r="H20" s="5">
        <f t="shared" si="2"/>
        <v>22</v>
      </c>
      <c r="I20">
        <f t="shared" si="3"/>
        <v>4.4000000000000004</v>
      </c>
    </row>
    <row r="21" spans="1:9">
      <c r="A21" s="3">
        <f t="shared" si="4"/>
        <v>46101</v>
      </c>
      <c r="B21" s="3" t="str">
        <f>TEXT(calendar[[#This Row],[date]], "yymmdd")</f>
        <v>260320</v>
      </c>
      <c r="C21" s="4">
        <f>DATEDIF("1/1/2024", calendar[[#This Row],[date]], "M")</f>
        <v>26</v>
      </c>
      <c r="D21" s="3" t="str">
        <f>TEXT(calendar[[#This Row],[date]], "dd")</f>
        <v>20</v>
      </c>
      <c r="E21" s="1">
        <f>IF(OR(WEEKDAY(calendar[[#This Row],[date]])= 1, WEEKDAY(calendar[[#This Row],[date]])=7), 0, 1)</f>
        <v>1</v>
      </c>
      <c r="F21">
        <f t="shared" si="0"/>
        <v>12</v>
      </c>
      <c r="G21" t="str">
        <f t="shared" si="1"/>
        <v>202603</v>
      </c>
      <c r="H21" s="5">
        <f t="shared" si="2"/>
        <v>22</v>
      </c>
      <c r="I21">
        <f t="shared" si="3"/>
        <v>4.4000000000000004</v>
      </c>
    </row>
    <row r="22" spans="1:9">
      <c r="A22" s="3">
        <f t="shared" si="4"/>
        <v>46102</v>
      </c>
      <c r="B22" s="3" t="str">
        <f>TEXT(calendar[[#This Row],[date]], "yymmdd")</f>
        <v>260321</v>
      </c>
      <c r="C22" s="4">
        <f>DATEDIF("1/1/2024", calendar[[#This Row],[date]], "M")</f>
        <v>26</v>
      </c>
      <c r="D22" s="3" t="str">
        <f>TEXT(calendar[[#This Row],[date]], "dd")</f>
        <v>21</v>
      </c>
      <c r="E22" s="1">
        <f>IF(OR(WEEKDAY(calendar[[#This Row],[date]])= 1, WEEKDAY(calendar[[#This Row],[date]])=7), 0, 1)</f>
        <v>0</v>
      </c>
      <c r="F22">
        <f t="shared" si="0"/>
        <v>12</v>
      </c>
      <c r="G22" t="str">
        <f t="shared" si="1"/>
        <v>202603</v>
      </c>
      <c r="H22" s="5">
        <f t="shared" si="2"/>
        <v>22</v>
      </c>
      <c r="I22">
        <f t="shared" si="3"/>
        <v>4.4000000000000004</v>
      </c>
    </row>
    <row r="23" spans="1:9">
      <c r="A23" s="3">
        <f t="shared" si="4"/>
        <v>46103</v>
      </c>
      <c r="B23" s="3" t="str">
        <f>TEXT(calendar[[#This Row],[date]], "yymmdd")</f>
        <v>260322</v>
      </c>
      <c r="C23" s="4">
        <f>DATEDIF("1/1/2024", calendar[[#This Row],[date]], "M")</f>
        <v>26</v>
      </c>
      <c r="D23" s="3" t="str">
        <f>TEXT(calendar[[#This Row],[date]], "dd")</f>
        <v>22</v>
      </c>
      <c r="E23" s="1">
        <f>IF(OR(WEEKDAY(calendar[[#This Row],[date]])= 1, WEEKDAY(calendar[[#This Row],[date]])=7), 0, 1)</f>
        <v>0</v>
      </c>
      <c r="F23">
        <f t="shared" si="0"/>
        <v>12</v>
      </c>
      <c r="G23" t="str">
        <f t="shared" si="1"/>
        <v>202603</v>
      </c>
      <c r="H23" s="5">
        <f t="shared" si="2"/>
        <v>22</v>
      </c>
      <c r="I23">
        <f t="shared" si="3"/>
        <v>4.4000000000000004</v>
      </c>
    </row>
    <row r="24" spans="1:9">
      <c r="A24" s="3">
        <f t="shared" si="4"/>
        <v>46104</v>
      </c>
      <c r="B24" s="3" t="str">
        <f>TEXT(calendar[[#This Row],[date]], "yymmdd")</f>
        <v>260323</v>
      </c>
      <c r="C24" s="4">
        <f>DATEDIF("1/1/2024", calendar[[#This Row],[date]], "M")</f>
        <v>26</v>
      </c>
      <c r="D24" s="3" t="str">
        <f>TEXT(calendar[[#This Row],[date]], "dd")</f>
        <v>23</v>
      </c>
      <c r="E24" s="1">
        <f>IF(OR(WEEKDAY(calendar[[#This Row],[date]])= 1, WEEKDAY(calendar[[#This Row],[date]])=7), 0, 1)</f>
        <v>1</v>
      </c>
      <c r="F24">
        <f t="shared" si="0"/>
        <v>13</v>
      </c>
      <c r="G24" t="str">
        <f t="shared" si="1"/>
        <v>202603</v>
      </c>
      <c r="H24" s="5">
        <f t="shared" si="2"/>
        <v>22</v>
      </c>
      <c r="I24">
        <f t="shared" si="3"/>
        <v>4.4000000000000004</v>
      </c>
    </row>
    <row r="25" spans="1:9">
      <c r="A25" s="3">
        <f t="shared" si="4"/>
        <v>46105</v>
      </c>
      <c r="B25" s="3" t="str">
        <f>TEXT(calendar[[#This Row],[date]], "yymmdd")</f>
        <v>260324</v>
      </c>
      <c r="C25" s="4">
        <f>DATEDIF("1/1/2024", calendar[[#This Row],[date]], "M")</f>
        <v>26</v>
      </c>
      <c r="D25" s="3" t="str">
        <f>TEXT(calendar[[#This Row],[date]], "dd")</f>
        <v>24</v>
      </c>
      <c r="E25" s="1">
        <f>IF(OR(WEEKDAY(calendar[[#This Row],[date]])= 1, WEEKDAY(calendar[[#This Row],[date]])=7), 0, 1)</f>
        <v>1</v>
      </c>
      <c r="F25">
        <f t="shared" si="0"/>
        <v>13</v>
      </c>
      <c r="G25" t="str">
        <f t="shared" si="1"/>
        <v>202603</v>
      </c>
      <c r="H25" s="5">
        <f t="shared" si="2"/>
        <v>22</v>
      </c>
      <c r="I25">
        <f t="shared" si="3"/>
        <v>4.4000000000000004</v>
      </c>
    </row>
    <row r="26" spans="1:9">
      <c r="A26" s="3">
        <f t="shared" si="4"/>
        <v>46106</v>
      </c>
      <c r="B26" s="3" t="str">
        <f>TEXT(calendar[[#This Row],[date]], "yymmdd")</f>
        <v>260325</v>
      </c>
      <c r="C26" s="4">
        <f>DATEDIF("1/1/2024", calendar[[#This Row],[date]], "M")</f>
        <v>26</v>
      </c>
      <c r="D26" s="3" t="str">
        <f>TEXT(calendar[[#This Row],[date]], "dd")</f>
        <v>25</v>
      </c>
      <c r="E26" s="1">
        <f>IF(OR(WEEKDAY(calendar[[#This Row],[date]])= 1, WEEKDAY(calendar[[#This Row],[date]])=7), 0, 1)</f>
        <v>1</v>
      </c>
      <c r="F26">
        <f t="shared" si="0"/>
        <v>13</v>
      </c>
      <c r="G26" t="str">
        <f t="shared" si="1"/>
        <v>202603</v>
      </c>
      <c r="H26" s="5">
        <f t="shared" si="2"/>
        <v>22</v>
      </c>
      <c r="I26">
        <f t="shared" si="3"/>
        <v>4.4000000000000004</v>
      </c>
    </row>
    <row r="27" spans="1:9">
      <c r="A27" s="3">
        <f t="shared" si="4"/>
        <v>46107</v>
      </c>
      <c r="B27" s="3" t="str">
        <f>TEXT(calendar[[#This Row],[date]], "yymmdd")</f>
        <v>260326</v>
      </c>
      <c r="C27" s="4">
        <f>DATEDIF("1/1/2024", calendar[[#This Row],[date]], "M")</f>
        <v>26</v>
      </c>
      <c r="D27" s="3" t="str">
        <f>TEXT(calendar[[#This Row],[date]], "dd")</f>
        <v>26</v>
      </c>
      <c r="E27" s="1">
        <f>IF(OR(WEEKDAY(calendar[[#This Row],[date]])= 1, WEEKDAY(calendar[[#This Row],[date]])=7), 0, 1)</f>
        <v>1</v>
      </c>
      <c r="F27">
        <f t="shared" si="0"/>
        <v>13</v>
      </c>
      <c r="G27" t="str">
        <f t="shared" si="1"/>
        <v>202603</v>
      </c>
      <c r="H27" s="5">
        <f t="shared" si="2"/>
        <v>22</v>
      </c>
      <c r="I27">
        <f t="shared" si="3"/>
        <v>4.4000000000000004</v>
      </c>
    </row>
    <row r="28" spans="1:9">
      <c r="A28" s="3">
        <f t="shared" si="4"/>
        <v>46108</v>
      </c>
      <c r="B28" s="3" t="str">
        <f>TEXT(calendar[[#This Row],[date]], "yymmdd")</f>
        <v>260327</v>
      </c>
      <c r="C28" s="4">
        <f>DATEDIF("1/1/2024", calendar[[#This Row],[date]], "M")</f>
        <v>26</v>
      </c>
      <c r="D28" s="3" t="str">
        <f>TEXT(calendar[[#This Row],[date]], "dd")</f>
        <v>27</v>
      </c>
      <c r="E28" s="1">
        <f>IF(OR(WEEKDAY(calendar[[#This Row],[date]])= 1, WEEKDAY(calendar[[#This Row],[date]])=7), 0, 1)</f>
        <v>1</v>
      </c>
      <c r="F28">
        <f t="shared" si="0"/>
        <v>13</v>
      </c>
      <c r="G28" t="str">
        <f t="shared" si="1"/>
        <v>202603</v>
      </c>
      <c r="H28" s="5">
        <f t="shared" si="2"/>
        <v>22</v>
      </c>
      <c r="I28">
        <f t="shared" si="3"/>
        <v>4.4000000000000004</v>
      </c>
    </row>
    <row r="29" spans="1:9">
      <c r="A29" s="3">
        <f t="shared" si="4"/>
        <v>46109</v>
      </c>
      <c r="B29" s="3" t="str">
        <f>TEXT(calendar[[#This Row],[date]], "yymmdd")</f>
        <v>260328</v>
      </c>
      <c r="C29" s="4">
        <f>DATEDIF("1/1/2024", calendar[[#This Row],[date]], "M")</f>
        <v>26</v>
      </c>
      <c r="D29" s="3" t="str">
        <f>TEXT(calendar[[#This Row],[date]], "dd")</f>
        <v>28</v>
      </c>
      <c r="E29" s="1">
        <f>IF(OR(WEEKDAY(calendar[[#This Row],[date]])= 1, WEEKDAY(calendar[[#This Row],[date]])=7), 0, 1)</f>
        <v>0</v>
      </c>
      <c r="F29">
        <f t="shared" si="0"/>
        <v>13</v>
      </c>
      <c r="G29" t="str">
        <f t="shared" si="1"/>
        <v>202603</v>
      </c>
      <c r="H29" s="5">
        <f t="shared" si="2"/>
        <v>22</v>
      </c>
      <c r="I29">
        <f t="shared" si="3"/>
        <v>4.4000000000000004</v>
      </c>
    </row>
    <row r="30" spans="1:9">
      <c r="A30" s="3">
        <f t="shared" si="4"/>
        <v>46110</v>
      </c>
      <c r="B30" s="3" t="str">
        <f>TEXT(calendar[[#This Row],[date]], "yymmdd")</f>
        <v>260329</v>
      </c>
      <c r="C30" s="4">
        <f>DATEDIF("1/1/2024", calendar[[#This Row],[date]], "M")</f>
        <v>26</v>
      </c>
      <c r="D30" s="3" t="str">
        <f>TEXT(calendar[[#This Row],[date]], "dd")</f>
        <v>29</v>
      </c>
      <c r="E30" s="1">
        <f>IF(OR(WEEKDAY(calendar[[#This Row],[date]])= 1, WEEKDAY(calendar[[#This Row],[date]])=7), 0, 1)</f>
        <v>0</v>
      </c>
      <c r="F30">
        <f t="shared" si="0"/>
        <v>13</v>
      </c>
      <c r="G30" t="str">
        <f t="shared" si="1"/>
        <v>202603</v>
      </c>
      <c r="H30" s="5">
        <f t="shared" si="2"/>
        <v>22</v>
      </c>
      <c r="I30">
        <f t="shared" si="3"/>
        <v>4.4000000000000004</v>
      </c>
    </row>
    <row r="31" spans="1:9">
      <c r="A31" s="3">
        <f t="shared" si="4"/>
        <v>46111</v>
      </c>
      <c r="B31" s="3" t="str">
        <f>TEXT(calendar[[#This Row],[date]], "yymmdd")</f>
        <v>260330</v>
      </c>
      <c r="C31" s="4">
        <f>DATEDIF("1/1/2024", calendar[[#This Row],[date]], "M")</f>
        <v>26</v>
      </c>
      <c r="D31" s="3" t="str">
        <f>TEXT(calendar[[#This Row],[date]], "dd")</f>
        <v>30</v>
      </c>
      <c r="E31" s="1">
        <f>IF(OR(WEEKDAY(calendar[[#This Row],[date]])= 1, WEEKDAY(calendar[[#This Row],[date]])=7), 0, 1)</f>
        <v>1</v>
      </c>
      <c r="F31">
        <f t="shared" si="0"/>
        <v>14</v>
      </c>
      <c r="G31" t="str">
        <f t="shared" si="1"/>
        <v>202603</v>
      </c>
      <c r="H31" s="5">
        <f t="shared" si="2"/>
        <v>22</v>
      </c>
      <c r="I31">
        <f t="shared" si="3"/>
        <v>4.4000000000000004</v>
      </c>
    </row>
    <row r="32" spans="1:9">
      <c r="A32" s="3">
        <f t="shared" si="4"/>
        <v>46112</v>
      </c>
      <c r="B32" s="3" t="str">
        <f>TEXT(calendar[[#This Row],[date]], "yymmdd")</f>
        <v>260331</v>
      </c>
      <c r="C32" s="4">
        <f>DATEDIF("1/1/2024", calendar[[#This Row],[date]], "M")</f>
        <v>26</v>
      </c>
      <c r="D32" s="3" t="str">
        <f>TEXT(calendar[[#This Row],[date]], "dd")</f>
        <v>31</v>
      </c>
      <c r="E32" s="1">
        <f>IF(OR(WEEKDAY(calendar[[#This Row],[date]])= 1, WEEKDAY(calendar[[#This Row],[date]])=7), 0, 1)</f>
        <v>1</v>
      </c>
      <c r="F32">
        <f t="shared" si="0"/>
        <v>14</v>
      </c>
      <c r="G32" t="str">
        <f t="shared" si="1"/>
        <v>202603</v>
      </c>
      <c r="H32" s="5">
        <f t="shared" si="2"/>
        <v>22</v>
      </c>
      <c r="I32">
        <f t="shared" si="3"/>
        <v>4.4000000000000004</v>
      </c>
    </row>
    <row r="33" spans="1:9">
      <c r="A33" s="3">
        <f t="shared" si="4"/>
        <v>46113</v>
      </c>
      <c r="B33" s="3" t="str">
        <f>TEXT(calendar[[#This Row],[date]], "yymmdd")</f>
        <v>260401</v>
      </c>
      <c r="C33" s="4">
        <f>DATEDIF("1/1/2024", calendar[[#This Row],[date]], "M")</f>
        <v>27</v>
      </c>
      <c r="D33" s="3" t="str">
        <f>TEXT(calendar[[#This Row],[date]], "dd")</f>
        <v>01</v>
      </c>
      <c r="E33" s="1">
        <f>IF(OR(WEEKDAY(calendar[[#This Row],[date]])= 1, WEEKDAY(calendar[[#This Row],[date]])=7), 0, 1)</f>
        <v>1</v>
      </c>
      <c r="F33">
        <f t="shared" si="0"/>
        <v>14</v>
      </c>
      <c r="G33" t="str">
        <f t="shared" si="1"/>
        <v>202604</v>
      </c>
      <c r="H33" s="5">
        <f t="shared" si="2"/>
        <v>22</v>
      </c>
      <c r="I33">
        <f t="shared" si="3"/>
        <v>4.4000000000000004</v>
      </c>
    </row>
    <row r="34" spans="1:9">
      <c r="A34" s="3">
        <f t="shared" si="4"/>
        <v>46114</v>
      </c>
      <c r="B34" s="3" t="str">
        <f>TEXT(calendar[[#This Row],[date]], "yymmdd")</f>
        <v>260402</v>
      </c>
      <c r="C34" s="4">
        <f>DATEDIF("1/1/2024", calendar[[#This Row],[date]], "M")</f>
        <v>27</v>
      </c>
      <c r="D34" s="3" t="str">
        <f>TEXT(calendar[[#This Row],[date]], "dd")</f>
        <v>02</v>
      </c>
      <c r="E34" s="1">
        <f>IF(OR(WEEKDAY(calendar[[#This Row],[date]])= 1, WEEKDAY(calendar[[#This Row],[date]])=7), 0, 1)</f>
        <v>1</v>
      </c>
      <c r="F34">
        <f t="shared" si="0"/>
        <v>14</v>
      </c>
      <c r="G34" t="str">
        <f t="shared" si="1"/>
        <v>202604</v>
      </c>
      <c r="H34" s="5">
        <f t="shared" si="2"/>
        <v>22</v>
      </c>
      <c r="I34">
        <f t="shared" si="3"/>
        <v>4.4000000000000004</v>
      </c>
    </row>
    <row r="35" spans="1:9">
      <c r="A35" s="3">
        <f t="shared" si="4"/>
        <v>46115</v>
      </c>
      <c r="B35" s="3" t="str">
        <f>TEXT(calendar[[#This Row],[date]], "yymmdd")</f>
        <v>260403</v>
      </c>
      <c r="C35" s="4">
        <f>DATEDIF("1/1/2024", calendar[[#This Row],[date]], "M")</f>
        <v>27</v>
      </c>
      <c r="D35" s="3" t="str">
        <f>TEXT(calendar[[#This Row],[date]], "dd")</f>
        <v>03</v>
      </c>
      <c r="E35" s="1">
        <f>IF(OR(WEEKDAY(calendar[[#This Row],[date]])= 1, WEEKDAY(calendar[[#This Row],[date]])=7), 0, 1)</f>
        <v>1</v>
      </c>
      <c r="F35">
        <f t="shared" si="0"/>
        <v>14</v>
      </c>
      <c r="G35" t="str">
        <f t="shared" si="1"/>
        <v>202604</v>
      </c>
      <c r="H35" s="5">
        <f t="shared" si="2"/>
        <v>22</v>
      </c>
      <c r="I35">
        <f t="shared" si="3"/>
        <v>4.4000000000000004</v>
      </c>
    </row>
    <row r="36" spans="1:9">
      <c r="A36" s="3">
        <f t="shared" si="4"/>
        <v>46116</v>
      </c>
      <c r="B36" s="3" t="str">
        <f>TEXT(calendar[[#This Row],[date]], "yymmdd")</f>
        <v>260404</v>
      </c>
      <c r="C36" s="4">
        <f>DATEDIF("1/1/2024", calendar[[#This Row],[date]], "M")</f>
        <v>27</v>
      </c>
      <c r="D36" s="3" t="str">
        <f>TEXT(calendar[[#This Row],[date]], "dd")</f>
        <v>04</v>
      </c>
      <c r="E36" s="1">
        <f>IF(OR(WEEKDAY(calendar[[#This Row],[date]])= 1, WEEKDAY(calendar[[#This Row],[date]])=7), 0, 1)</f>
        <v>0</v>
      </c>
      <c r="F36">
        <f t="shared" si="0"/>
        <v>14</v>
      </c>
      <c r="G36" t="str">
        <f t="shared" si="1"/>
        <v>202604</v>
      </c>
      <c r="H36" s="5">
        <f t="shared" si="2"/>
        <v>22</v>
      </c>
      <c r="I36">
        <f t="shared" si="3"/>
        <v>4.4000000000000004</v>
      </c>
    </row>
    <row r="37" spans="1:9">
      <c r="A37" s="3">
        <f t="shared" si="4"/>
        <v>46117</v>
      </c>
      <c r="B37" s="3" t="str">
        <f>TEXT(calendar[[#This Row],[date]], "yymmdd")</f>
        <v>260405</v>
      </c>
      <c r="C37" s="4">
        <f>DATEDIF("1/1/2024", calendar[[#This Row],[date]], "M")</f>
        <v>27</v>
      </c>
      <c r="D37" s="3" t="str">
        <f>TEXT(calendar[[#This Row],[date]], "dd")</f>
        <v>05</v>
      </c>
      <c r="E37" s="1">
        <f>IF(OR(WEEKDAY(calendar[[#This Row],[date]])= 1, WEEKDAY(calendar[[#This Row],[date]])=7), 0, 1)</f>
        <v>0</v>
      </c>
      <c r="F37">
        <f t="shared" si="0"/>
        <v>14</v>
      </c>
      <c r="G37" t="str">
        <f t="shared" si="1"/>
        <v>202604</v>
      </c>
      <c r="H37" s="5">
        <f t="shared" si="2"/>
        <v>22</v>
      </c>
      <c r="I37">
        <f t="shared" si="3"/>
        <v>4.4000000000000004</v>
      </c>
    </row>
    <row r="38" spans="1:9">
      <c r="A38" s="3">
        <f t="shared" si="4"/>
        <v>46118</v>
      </c>
      <c r="B38" s="3" t="str">
        <f>TEXT(calendar[[#This Row],[date]], "yymmdd")</f>
        <v>260406</v>
      </c>
      <c r="C38" s="4">
        <f>DATEDIF("1/1/2024", calendar[[#This Row],[date]], "M")</f>
        <v>27</v>
      </c>
      <c r="D38" s="3" t="str">
        <f>TEXT(calendar[[#This Row],[date]], "dd")</f>
        <v>06</v>
      </c>
      <c r="E38" s="1">
        <f>IF(OR(WEEKDAY(calendar[[#This Row],[date]])= 1, WEEKDAY(calendar[[#This Row],[date]])=7), 0, 1)</f>
        <v>1</v>
      </c>
      <c r="F38">
        <f t="shared" si="0"/>
        <v>15</v>
      </c>
      <c r="G38" t="str">
        <f t="shared" si="1"/>
        <v>202604</v>
      </c>
      <c r="H38" s="5">
        <f t="shared" si="2"/>
        <v>22</v>
      </c>
      <c r="I38">
        <f t="shared" si="3"/>
        <v>4.4000000000000004</v>
      </c>
    </row>
    <row r="39" spans="1:9">
      <c r="A39" s="3">
        <f t="shared" si="4"/>
        <v>46119</v>
      </c>
      <c r="B39" s="3" t="str">
        <f>TEXT(calendar[[#This Row],[date]], "yymmdd")</f>
        <v>260407</v>
      </c>
      <c r="C39" s="4">
        <f>DATEDIF("1/1/2024", calendar[[#This Row],[date]], "M")</f>
        <v>27</v>
      </c>
      <c r="D39" s="3" t="str">
        <f>TEXT(calendar[[#This Row],[date]], "dd")</f>
        <v>07</v>
      </c>
      <c r="E39" s="1">
        <f>IF(OR(WEEKDAY(calendar[[#This Row],[date]])= 1, WEEKDAY(calendar[[#This Row],[date]])=7), 0, 1)</f>
        <v>1</v>
      </c>
      <c r="F39">
        <f t="shared" si="0"/>
        <v>15</v>
      </c>
      <c r="G39" t="str">
        <f t="shared" si="1"/>
        <v>202604</v>
      </c>
      <c r="H39" s="5">
        <f t="shared" si="2"/>
        <v>22</v>
      </c>
      <c r="I39">
        <f t="shared" si="3"/>
        <v>4.4000000000000004</v>
      </c>
    </row>
    <row r="40" spans="1:9">
      <c r="A40" s="3">
        <f t="shared" si="4"/>
        <v>46120</v>
      </c>
      <c r="B40" s="3" t="str">
        <f>TEXT(calendar[[#This Row],[date]], "yymmdd")</f>
        <v>260408</v>
      </c>
      <c r="C40" s="4">
        <f>DATEDIF("1/1/2024", calendar[[#This Row],[date]], "M")</f>
        <v>27</v>
      </c>
      <c r="D40" s="3" t="str">
        <f>TEXT(calendar[[#This Row],[date]], "dd")</f>
        <v>08</v>
      </c>
      <c r="E40" s="1">
        <f>IF(OR(WEEKDAY(calendar[[#This Row],[date]])= 1, WEEKDAY(calendar[[#This Row],[date]])=7), 0, 1)</f>
        <v>1</v>
      </c>
      <c r="F40">
        <f t="shared" si="0"/>
        <v>15</v>
      </c>
      <c r="G40" t="str">
        <f t="shared" si="1"/>
        <v>202604</v>
      </c>
      <c r="H40" s="5">
        <f t="shared" si="2"/>
        <v>22</v>
      </c>
      <c r="I40">
        <f t="shared" si="3"/>
        <v>4.4000000000000004</v>
      </c>
    </row>
    <row r="41" spans="1:9">
      <c r="A41" s="3">
        <f t="shared" si="4"/>
        <v>46121</v>
      </c>
      <c r="B41" s="3" t="str">
        <f>TEXT(calendar[[#This Row],[date]], "yymmdd")</f>
        <v>260409</v>
      </c>
      <c r="C41" s="4">
        <f>DATEDIF("1/1/2024", calendar[[#This Row],[date]], "M")</f>
        <v>27</v>
      </c>
      <c r="D41" s="3" t="str">
        <f>TEXT(calendar[[#This Row],[date]], "dd")</f>
        <v>09</v>
      </c>
      <c r="E41" s="1">
        <f>IF(OR(WEEKDAY(calendar[[#This Row],[date]])= 1, WEEKDAY(calendar[[#This Row],[date]])=7), 0, 1)</f>
        <v>1</v>
      </c>
      <c r="F41">
        <f t="shared" si="0"/>
        <v>15</v>
      </c>
      <c r="G41" t="str">
        <f t="shared" si="1"/>
        <v>202604</v>
      </c>
      <c r="H41" s="5">
        <f t="shared" si="2"/>
        <v>22</v>
      </c>
      <c r="I41">
        <f t="shared" si="3"/>
        <v>4.4000000000000004</v>
      </c>
    </row>
    <row r="42" spans="1:9">
      <c r="A42" s="3">
        <f t="shared" si="4"/>
        <v>46122</v>
      </c>
      <c r="B42" s="3" t="str">
        <f>TEXT(calendar[[#This Row],[date]], "yymmdd")</f>
        <v>260410</v>
      </c>
      <c r="C42" s="4">
        <f>DATEDIF("1/1/2024", calendar[[#This Row],[date]], "M")</f>
        <v>27</v>
      </c>
      <c r="D42" s="3" t="str">
        <f>TEXT(calendar[[#This Row],[date]], "dd")</f>
        <v>10</v>
      </c>
      <c r="E42" s="1">
        <f>IF(OR(WEEKDAY(calendar[[#This Row],[date]])= 1, WEEKDAY(calendar[[#This Row],[date]])=7), 0, 1)</f>
        <v>1</v>
      </c>
      <c r="F42">
        <f t="shared" si="0"/>
        <v>15</v>
      </c>
      <c r="G42" t="str">
        <f t="shared" si="1"/>
        <v>202604</v>
      </c>
      <c r="H42" s="5">
        <f t="shared" si="2"/>
        <v>22</v>
      </c>
      <c r="I42">
        <f t="shared" si="3"/>
        <v>4.4000000000000004</v>
      </c>
    </row>
    <row r="43" spans="1:9">
      <c r="A43" s="3">
        <f t="shared" si="4"/>
        <v>46123</v>
      </c>
      <c r="B43" s="3" t="str">
        <f>TEXT(calendar[[#This Row],[date]], "yymmdd")</f>
        <v>260411</v>
      </c>
      <c r="C43" s="4">
        <f>DATEDIF("1/1/2024", calendar[[#This Row],[date]], "M")</f>
        <v>27</v>
      </c>
      <c r="D43" s="3" t="str">
        <f>TEXT(calendar[[#This Row],[date]], "dd")</f>
        <v>11</v>
      </c>
      <c r="E43" s="1">
        <f>IF(OR(WEEKDAY(calendar[[#This Row],[date]])= 1, WEEKDAY(calendar[[#This Row],[date]])=7), 0, 1)</f>
        <v>0</v>
      </c>
      <c r="F43">
        <f t="shared" si="0"/>
        <v>15</v>
      </c>
      <c r="G43" t="str">
        <f t="shared" si="1"/>
        <v>202604</v>
      </c>
      <c r="H43" s="5">
        <f t="shared" si="2"/>
        <v>22</v>
      </c>
      <c r="I43">
        <f t="shared" si="3"/>
        <v>4.4000000000000004</v>
      </c>
    </row>
    <row r="44" spans="1:9">
      <c r="A44" s="3">
        <f t="shared" si="4"/>
        <v>46124</v>
      </c>
      <c r="B44" s="3" t="str">
        <f>TEXT(calendar[[#This Row],[date]], "yymmdd")</f>
        <v>260412</v>
      </c>
      <c r="C44" s="4">
        <f>DATEDIF("1/1/2024", calendar[[#This Row],[date]], "M")</f>
        <v>27</v>
      </c>
      <c r="D44" s="3" t="str">
        <f>TEXT(calendar[[#This Row],[date]], "dd")</f>
        <v>12</v>
      </c>
      <c r="E44" s="1">
        <f>IF(OR(WEEKDAY(calendar[[#This Row],[date]])= 1, WEEKDAY(calendar[[#This Row],[date]])=7), 0, 1)</f>
        <v>0</v>
      </c>
      <c r="F44">
        <f t="shared" si="0"/>
        <v>15</v>
      </c>
      <c r="G44" t="str">
        <f t="shared" si="1"/>
        <v>202604</v>
      </c>
      <c r="H44" s="5">
        <f t="shared" si="2"/>
        <v>22</v>
      </c>
      <c r="I44">
        <f t="shared" si="3"/>
        <v>4.4000000000000004</v>
      </c>
    </row>
    <row r="45" spans="1:9">
      <c r="A45" s="3">
        <f t="shared" si="4"/>
        <v>46125</v>
      </c>
      <c r="B45" s="3" t="str">
        <f>TEXT(calendar[[#This Row],[date]], "yymmdd")</f>
        <v>260413</v>
      </c>
      <c r="C45" s="4">
        <f>DATEDIF("1/1/2024", calendar[[#This Row],[date]], "M")</f>
        <v>27</v>
      </c>
      <c r="D45" s="3" t="str">
        <f>TEXT(calendar[[#This Row],[date]], "dd")</f>
        <v>13</v>
      </c>
      <c r="E45" s="1">
        <f>IF(OR(WEEKDAY(calendar[[#This Row],[date]])= 1, WEEKDAY(calendar[[#This Row],[date]])=7), 0, 1)</f>
        <v>1</v>
      </c>
      <c r="F45">
        <f t="shared" si="0"/>
        <v>16</v>
      </c>
      <c r="G45" t="str">
        <f t="shared" si="1"/>
        <v>202604</v>
      </c>
      <c r="H45" s="5">
        <f t="shared" si="2"/>
        <v>22</v>
      </c>
      <c r="I45">
        <f t="shared" si="3"/>
        <v>4.4000000000000004</v>
      </c>
    </row>
    <row r="46" spans="1:9">
      <c r="A46" s="3">
        <f t="shared" si="4"/>
        <v>46126</v>
      </c>
      <c r="B46" s="3" t="str">
        <f>TEXT(calendar[[#This Row],[date]], "yymmdd")</f>
        <v>260414</v>
      </c>
      <c r="C46" s="4">
        <f>DATEDIF("1/1/2024", calendar[[#This Row],[date]], "M")</f>
        <v>27</v>
      </c>
      <c r="D46" s="3" t="str">
        <f>TEXT(calendar[[#This Row],[date]], "dd")</f>
        <v>14</v>
      </c>
      <c r="E46" s="1">
        <f>IF(OR(WEEKDAY(calendar[[#This Row],[date]])= 1, WEEKDAY(calendar[[#This Row],[date]])=7), 0, 1)</f>
        <v>1</v>
      </c>
      <c r="F46">
        <f t="shared" si="0"/>
        <v>16</v>
      </c>
      <c r="G46" t="str">
        <f t="shared" si="1"/>
        <v>202604</v>
      </c>
      <c r="H46" s="5">
        <f t="shared" si="2"/>
        <v>22</v>
      </c>
      <c r="I46">
        <f t="shared" si="3"/>
        <v>4.4000000000000004</v>
      </c>
    </row>
    <row r="47" spans="1:9">
      <c r="A47" s="3">
        <f t="shared" si="4"/>
        <v>46127</v>
      </c>
      <c r="B47" s="3" t="str">
        <f>TEXT(calendar[[#This Row],[date]], "yymmdd")</f>
        <v>260415</v>
      </c>
      <c r="C47" s="4">
        <f>DATEDIF("1/1/2024", calendar[[#This Row],[date]], "M")</f>
        <v>27</v>
      </c>
      <c r="D47" s="3" t="str">
        <f>TEXT(calendar[[#This Row],[date]], "dd")</f>
        <v>15</v>
      </c>
      <c r="E47" s="1">
        <f>IF(OR(WEEKDAY(calendar[[#This Row],[date]])= 1, WEEKDAY(calendar[[#This Row],[date]])=7), 0, 1)</f>
        <v>1</v>
      </c>
      <c r="F47">
        <f t="shared" si="0"/>
        <v>16</v>
      </c>
      <c r="G47" t="str">
        <f t="shared" si="1"/>
        <v>202604</v>
      </c>
      <c r="H47" s="5">
        <f t="shared" si="2"/>
        <v>22</v>
      </c>
      <c r="I47">
        <f t="shared" si="3"/>
        <v>4.4000000000000004</v>
      </c>
    </row>
    <row r="48" spans="1:9">
      <c r="A48" s="3">
        <f t="shared" si="4"/>
        <v>46128</v>
      </c>
      <c r="B48" s="3" t="str">
        <f>TEXT(calendar[[#This Row],[date]], "yymmdd")</f>
        <v>260416</v>
      </c>
      <c r="C48" s="4">
        <f>DATEDIF("1/1/2024", calendar[[#This Row],[date]], "M")</f>
        <v>27</v>
      </c>
      <c r="D48" s="3" t="str">
        <f>TEXT(calendar[[#This Row],[date]], "dd")</f>
        <v>16</v>
      </c>
      <c r="E48" s="1">
        <f>IF(OR(WEEKDAY(calendar[[#This Row],[date]])= 1, WEEKDAY(calendar[[#This Row],[date]])=7), 0, 1)</f>
        <v>1</v>
      </c>
      <c r="F48">
        <f t="shared" si="0"/>
        <v>16</v>
      </c>
      <c r="G48" t="str">
        <f t="shared" si="1"/>
        <v>202604</v>
      </c>
      <c r="H48" s="5">
        <f t="shared" si="2"/>
        <v>22</v>
      </c>
      <c r="I48">
        <f t="shared" si="3"/>
        <v>4.4000000000000004</v>
      </c>
    </row>
    <row r="49" spans="1:9">
      <c r="A49" s="3">
        <f t="shared" si="4"/>
        <v>46129</v>
      </c>
      <c r="B49" s="3" t="str">
        <f>TEXT(calendar[[#This Row],[date]], "yymmdd")</f>
        <v>260417</v>
      </c>
      <c r="C49" s="4">
        <f>DATEDIF("1/1/2024", calendar[[#This Row],[date]], "M")</f>
        <v>27</v>
      </c>
      <c r="D49" s="3" t="str">
        <f>TEXT(calendar[[#This Row],[date]], "dd")</f>
        <v>17</v>
      </c>
      <c r="E49" s="1">
        <f>IF(OR(WEEKDAY(calendar[[#This Row],[date]])= 1, WEEKDAY(calendar[[#This Row],[date]])=7), 0, 1)</f>
        <v>1</v>
      </c>
      <c r="F49">
        <f t="shared" si="0"/>
        <v>16</v>
      </c>
      <c r="G49" t="str">
        <f t="shared" si="1"/>
        <v>202604</v>
      </c>
      <c r="H49" s="5">
        <f t="shared" si="2"/>
        <v>22</v>
      </c>
      <c r="I49">
        <f t="shared" si="3"/>
        <v>4.4000000000000004</v>
      </c>
    </row>
    <row r="50" spans="1:9">
      <c r="A50" s="3">
        <f t="shared" si="4"/>
        <v>46130</v>
      </c>
      <c r="B50" s="3" t="str">
        <f>TEXT(calendar[[#This Row],[date]], "yymmdd")</f>
        <v>260418</v>
      </c>
      <c r="C50" s="4">
        <f>DATEDIF("1/1/2024", calendar[[#This Row],[date]], "M")</f>
        <v>27</v>
      </c>
      <c r="D50" s="3" t="str">
        <f>TEXT(calendar[[#This Row],[date]], "dd")</f>
        <v>18</v>
      </c>
      <c r="E50" s="1">
        <f>IF(OR(WEEKDAY(calendar[[#This Row],[date]])= 1, WEEKDAY(calendar[[#This Row],[date]])=7), 0, 1)</f>
        <v>0</v>
      </c>
      <c r="F50">
        <f t="shared" si="0"/>
        <v>16</v>
      </c>
      <c r="G50" t="str">
        <f t="shared" si="1"/>
        <v>202604</v>
      </c>
      <c r="H50" s="5">
        <f t="shared" si="2"/>
        <v>22</v>
      </c>
      <c r="I50">
        <f t="shared" si="3"/>
        <v>4.4000000000000004</v>
      </c>
    </row>
    <row r="51" spans="1:9">
      <c r="A51" s="3">
        <f t="shared" si="4"/>
        <v>46131</v>
      </c>
      <c r="B51" s="3" t="str">
        <f>TEXT(calendar[[#This Row],[date]], "yymmdd")</f>
        <v>260419</v>
      </c>
      <c r="C51" s="4">
        <f>DATEDIF("1/1/2024", calendar[[#This Row],[date]], "M")</f>
        <v>27</v>
      </c>
      <c r="D51" s="3" t="str">
        <f>TEXT(calendar[[#This Row],[date]], "dd")</f>
        <v>19</v>
      </c>
      <c r="E51" s="1">
        <f>IF(OR(WEEKDAY(calendar[[#This Row],[date]])= 1, WEEKDAY(calendar[[#This Row],[date]])=7), 0, 1)</f>
        <v>0</v>
      </c>
      <c r="F51">
        <f t="shared" si="0"/>
        <v>16</v>
      </c>
      <c r="G51" t="str">
        <f t="shared" si="1"/>
        <v>202604</v>
      </c>
      <c r="H51" s="5">
        <f t="shared" si="2"/>
        <v>22</v>
      </c>
      <c r="I51">
        <f t="shared" si="3"/>
        <v>4.4000000000000004</v>
      </c>
    </row>
    <row r="52" spans="1:9">
      <c r="A52" s="3">
        <f t="shared" si="4"/>
        <v>46132</v>
      </c>
      <c r="B52" s="3" t="str">
        <f>TEXT(calendar[[#This Row],[date]], "yymmdd")</f>
        <v>260420</v>
      </c>
      <c r="C52" s="4">
        <f>DATEDIF("1/1/2024", calendar[[#This Row],[date]], "M")</f>
        <v>27</v>
      </c>
      <c r="D52" s="3" t="str">
        <f>TEXT(calendar[[#This Row],[date]], "dd")</f>
        <v>20</v>
      </c>
      <c r="E52" s="1">
        <f>IF(OR(WEEKDAY(calendar[[#This Row],[date]])= 1, WEEKDAY(calendar[[#This Row],[date]])=7), 0, 1)</f>
        <v>1</v>
      </c>
      <c r="F52">
        <f t="shared" si="0"/>
        <v>17</v>
      </c>
      <c r="G52" t="str">
        <f t="shared" si="1"/>
        <v>202604</v>
      </c>
      <c r="H52" s="5">
        <f t="shared" si="2"/>
        <v>22</v>
      </c>
      <c r="I52">
        <f t="shared" si="3"/>
        <v>4.4000000000000004</v>
      </c>
    </row>
    <row r="53" spans="1:9">
      <c r="A53" s="3">
        <f t="shared" si="4"/>
        <v>46133</v>
      </c>
      <c r="B53" s="3" t="str">
        <f>TEXT(calendar[[#This Row],[date]], "yymmdd")</f>
        <v>260421</v>
      </c>
      <c r="C53" s="4">
        <f>DATEDIF("1/1/2024", calendar[[#This Row],[date]], "M")</f>
        <v>27</v>
      </c>
      <c r="D53" s="3" t="str">
        <f>TEXT(calendar[[#This Row],[date]], "dd")</f>
        <v>21</v>
      </c>
      <c r="E53" s="1">
        <f>IF(OR(WEEKDAY(calendar[[#This Row],[date]])= 1, WEEKDAY(calendar[[#This Row],[date]])=7), 0, 1)</f>
        <v>1</v>
      </c>
      <c r="F53">
        <f t="shared" si="0"/>
        <v>17</v>
      </c>
      <c r="G53" t="str">
        <f t="shared" si="1"/>
        <v>202604</v>
      </c>
      <c r="H53" s="5">
        <f t="shared" si="2"/>
        <v>22</v>
      </c>
      <c r="I53">
        <f t="shared" si="3"/>
        <v>4.4000000000000004</v>
      </c>
    </row>
    <row r="54" spans="1:9">
      <c r="A54" s="3">
        <f t="shared" si="4"/>
        <v>46134</v>
      </c>
      <c r="B54" s="3" t="str">
        <f>TEXT(calendar[[#This Row],[date]], "yymmdd")</f>
        <v>260422</v>
      </c>
      <c r="C54" s="4">
        <f>DATEDIF("1/1/2024", calendar[[#This Row],[date]], "M")</f>
        <v>27</v>
      </c>
      <c r="D54" s="3" t="str">
        <f>TEXT(calendar[[#This Row],[date]], "dd")</f>
        <v>22</v>
      </c>
      <c r="E54" s="1">
        <f>IF(OR(WEEKDAY(calendar[[#This Row],[date]])= 1, WEEKDAY(calendar[[#This Row],[date]])=7), 0, 1)</f>
        <v>1</v>
      </c>
      <c r="F54">
        <f t="shared" si="0"/>
        <v>17</v>
      </c>
      <c r="G54" t="str">
        <f t="shared" si="1"/>
        <v>202604</v>
      </c>
      <c r="H54" s="5">
        <f t="shared" si="2"/>
        <v>22</v>
      </c>
      <c r="I54">
        <f t="shared" si="3"/>
        <v>4.4000000000000004</v>
      </c>
    </row>
    <row r="55" spans="1:9">
      <c r="A55" s="3">
        <f t="shared" si="4"/>
        <v>46135</v>
      </c>
      <c r="B55" s="3" t="str">
        <f>TEXT(calendar[[#This Row],[date]], "yymmdd")</f>
        <v>260423</v>
      </c>
      <c r="C55" s="4">
        <f>DATEDIF("1/1/2024", calendar[[#This Row],[date]], "M")</f>
        <v>27</v>
      </c>
      <c r="D55" s="3" t="str">
        <f>TEXT(calendar[[#This Row],[date]], "dd")</f>
        <v>23</v>
      </c>
      <c r="E55" s="1">
        <f>IF(OR(WEEKDAY(calendar[[#This Row],[date]])= 1, WEEKDAY(calendar[[#This Row],[date]])=7), 0, 1)</f>
        <v>1</v>
      </c>
      <c r="F55">
        <f t="shared" si="0"/>
        <v>17</v>
      </c>
      <c r="G55" t="str">
        <f t="shared" si="1"/>
        <v>202604</v>
      </c>
      <c r="H55" s="5">
        <f t="shared" si="2"/>
        <v>22</v>
      </c>
      <c r="I55">
        <f t="shared" si="3"/>
        <v>4.4000000000000004</v>
      </c>
    </row>
    <row r="56" spans="1:9">
      <c r="A56" s="3">
        <f t="shared" si="4"/>
        <v>46136</v>
      </c>
      <c r="B56" s="3" t="str">
        <f>TEXT(calendar[[#This Row],[date]], "yymmdd")</f>
        <v>260424</v>
      </c>
      <c r="C56" s="4">
        <f>DATEDIF("1/1/2024", calendar[[#This Row],[date]], "M")</f>
        <v>27</v>
      </c>
      <c r="D56" s="3" t="str">
        <f>TEXT(calendar[[#This Row],[date]], "dd")</f>
        <v>24</v>
      </c>
      <c r="E56" s="1">
        <f>IF(OR(WEEKDAY(calendar[[#This Row],[date]])= 1, WEEKDAY(calendar[[#This Row],[date]])=7), 0, 1)</f>
        <v>1</v>
      </c>
      <c r="F56">
        <f t="shared" si="0"/>
        <v>17</v>
      </c>
      <c r="G56" t="str">
        <f t="shared" si="1"/>
        <v>202604</v>
      </c>
      <c r="H56" s="5">
        <f t="shared" si="2"/>
        <v>22</v>
      </c>
      <c r="I56">
        <f t="shared" si="3"/>
        <v>4.4000000000000004</v>
      </c>
    </row>
    <row r="57" spans="1:9">
      <c r="A57" s="3">
        <f t="shared" si="4"/>
        <v>46137</v>
      </c>
      <c r="B57" s="3" t="str">
        <f>TEXT(calendar[[#This Row],[date]], "yymmdd")</f>
        <v>260425</v>
      </c>
      <c r="C57" s="4">
        <f>DATEDIF("1/1/2024", calendar[[#This Row],[date]], "M")</f>
        <v>27</v>
      </c>
      <c r="D57" s="3" t="str">
        <f>TEXT(calendar[[#This Row],[date]], "dd")</f>
        <v>25</v>
      </c>
      <c r="E57" s="1">
        <f>IF(OR(WEEKDAY(calendar[[#This Row],[date]])= 1, WEEKDAY(calendar[[#This Row],[date]])=7), 0, 1)</f>
        <v>0</v>
      </c>
      <c r="F57">
        <f t="shared" si="0"/>
        <v>17</v>
      </c>
      <c r="G57" t="str">
        <f t="shared" si="1"/>
        <v>202604</v>
      </c>
      <c r="H57" s="5">
        <f t="shared" si="2"/>
        <v>22</v>
      </c>
      <c r="I57">
        <f t="shared" si="3"/>
        <v>4.4000000000000004</v>
      </c>
    </row>
    <row r="58" spans="1:9">
      <c r="A58" s="3">
        <f t="shared" si="4"/>
        <v>46138</v>
      </c>
      <c r="B58" s="3" t="str">
        <f>TEXT(calendar[[#This Row],[date]], "yymmdd")</f>
        <v>260426</v>
      </c>
      <c r="C58" s="4">
        <f>DATEDIF("1/1/2024", calendar[[#This Row],[date]], "M")</f>
        <v>27</v>
      </c>
      <c r="D58" s="3" t="str">
        <f>TEXT(calendar[[#This Row],[date]], "dd")</f>
        <v>26</v>
      </c>
      <c r="E58" s="1">
        <f>IF(OR(WEEKDAY(calendar[[#This Row],[date]])= 1, WEEKDAY(calendar[[#This Row],[date]])=7), 0, 1)</f>
        <v>0</v>
      </c>
      <c r="F58">
        <f t="shared" si="0"/>
        <v>17</v>
      </c>
      <c r="G58" t="str">
        <f t="shared" si="1"/>
        <v>202604</v>
      </c>
      <c r="H58" s="5">
        <f t="shared" si="2"/>
        <v>22</v>
      </c>
      <c r="I58">
        <f t="shared" si="3"/>
        <v>4.4000000000000004</v>
      </c>
    </row>
    <row r="59" spans="1:9">
      <c r="A59" s="3">
        <f t="shared" si="4"/>
        <v>46139</v>
      </c>
      <c r="B59" s="3" t="str">
        <f>TEXT(calendar[[#This Row],[date]], "yymmdd")</f>
        <v>260427</v>
      </c>
      <c r="C59" s="4">
        <f>DATEDIF("1/1/2024", calendar[[#This Row],[date]], "M")</f>
        <v>27</v>
      </c>
      <c r="D59" s="3" t="str">
        <f>TEXT(calendar[[#This Row],[date]], "dd")</f>
        <v>27</v>
      </c>
      <c r="E59" s="1">
        <f>IF(OR(WEEKDAY(calendar[[#This Row],[date]])= 1, WEEKDAY(calendar[[#This Row],[date]])=7), 0, 1)</f>
        <v>1</v>
      </c>
      <c r="F59">
        <f t="shared" si="0"/>
        <v>18</v>
      </c>
      <c r="G59" t="str">
        <f t="shared" si="1"/>
        <v>202604</v>
      </c>
      <c r="H59" s="5">
        <f t="shared" si="2"/>
        <v>22</v>
      </c>
      <c r="I59">
        <f t="shared" si="3"/>
        <v>4.4000000000000004</v>
      </c>
    </row>
    <row r="60" spans="1:9">
      <c r="A60" s="3">
        <f t="shared" si="4"/>
        <v>46140</v>
      </c>
      <c r="B60" s="3" t="str">
        <f>TEXT(calendar[[#This Row],[date]], "yymmdd")</f>
        <v>260428</v>
      </c>
      <c r="C60" s="4">
        <f>DATEDIF("1/1/2024", calendar[[#This Row],[date]], "M")</f>
        <v>27</v>
      </c>
      <c r="D60" s="3" t="str">
        <f>TEXT(calendar[[#This Row],[date]], "dd")</f>
        <v>28</v>
      </c>
      <c r="E60" s="1">
        <f>IF(OR(WEEKDAY(calendar[[#This Row],[date]])= 1, WEEKDAY(calendar[[#This Row],[date]])=7), 0, 1)</f>
        <v>1</v>
      </c>
      <c r="F60">
        <f t="shared" si="0"/>
        <v>18</v>
      </c>
      <c r="G60" t="str">
        <f t="shared" si="1"/>
        <v>202604</v>
      </c>
      <c r="H60" s="5">
        <f t="shared" si="2"/>
        <v>22</v>
      </c>
      <c r="I60">
        <f t="shared" si="3"/>
        <v>4.4000000000000004</v>
      </c>
    </row>
    <row r="61" spans="1:9">
      <c r="A61" s="3">
        <f t="shared" si="4"/>
        <v>46141</v>
      </c>
      <c r="B61" s="3" t="str">
        <f>TEXT(calendar[[#This Row],[date]], "yymmdd")</f>
        <v>260429</v>
      </c>
      <c r="C61" s="4">
        <f>DATEDIF("1/1/2024", calendar[[#This Row],[date]], "M")</f>
        <v>27</v>
      </c>
      <c r="D61" s="3" t="str">
        <f>TEXT(calendar[[#This Row],[date]], "dd")</f>
        <v>29</v>
      </c>
      <c r="E61" s="1">
        <f>IF(OR(WEEKDAY(calendar[[#This Row],[date]])= 1, WEEKDAY(calendar[[#This Row],[date]])=7), 0, 1)</f>
        <v>1</v>
      </c>
      <c r="F61">
        <f t="shared" si="0"/>
        <v>18</v>
      </c>
      <c r="G61" t="str">
        <f t="shared" si="1"/>
        <v>202604</v>
      </c>
      <c r="H61" s="5">
        <f t="shared" si="2"/>
        <v>22</v>
      </c>
      <c r="I61">
        <f t="shared" si="3"/>
        <v>4.4000000000000004</v>
      </c>
    </row>
    <row r="62" spans="1:9">
      <c r="A62" s="3">
        <f t="shared" si="4"/>
        <v>46142</v>
      </c>
      <c r="B62" s="3" t="str">
        <f>TEXT(calendar[[#This Row],[date]], "yymmdd")</f>
        <v>260430</v>
      </c>
      <c r="C62" s="4">
        <f>DATEDIF("1/1/2024", calendar[[#This Row],[date]], "M")</f>
        <v>27</v>
      </c>
      <c r="D62" s="3" t="str">
        <f>TEXT(calendar[[#This Row],[date]], "dd")</f>
        <v>30</v>
      </c>
      <c r="E62" s="1">
        <f>IF(OR(WEEKDAY(calendar[[#This Row],[date]])= 1, WEEKDAY(calendar[[#This Row],[date]])=7), 0, 1)</f>
        <v>1</v>
      </c>
      <c r="F62">
        <f t="shared" si="0"/>
        <v>18</v>
      </c>
      <c r="G62" t="str">
        <f t="shared" si="1"/>
        <v>202604</v>
      </c>
      <c r="H62" s="5">
        <f t="shared" si="2"/>
        <v>22</v>
      </c>
      <c r="I62">
        <f t="shared" si="3"/>
        <v>4.4000000000000004</v>
      </c>
    </row>
    <row r="63" spans="1:9">
      <c r="A63" s="3">
        <f t="shared" si="4"/>
        <v>46143</v>
      </c>
      <c r="B63" s="3" t="str">
        <f>TEXT(calendar[[#This Row],[date]], "yymmdd")</f>
        <v>260501</v>
      </c>
      <c r="C63" s="4">
        <f>DATEDIF("1/1/2024", calendar[[#This Row],[date]], "M")</f>
        <v>28</v>
      </c>
      <c r="D63" s="3" t="str">
        <f>TEXT(calendar[[#This Row],[date]], "dd")</f>
        <v>01</v>
      </c>
      <c r="E63" s="1">
        <f>IF(OR(WEEKDAY(calendar[[#This Row],[date]])= 1, WEEKDAY(calendar[[#This Row],[date]])=7), 0, 1)</f>
        <v>1</v>
      </c>
      <c r="F63">
        <f t="shared" si="0"/>
        <v>18</v>
      </c>
      <c r="G63" t="str">
        <f t="shared" si="1"/>
        <v>202605</v>
      </c>
      <c r="H63" s="5">
        <f t="shared" si="2"/>
        <v>20</v>
      </c>
      <c r="I63">
        <f t="shared" si="3"/>
        <v>4</v>
      </c>
    </row>
    <row r="64" spans="1:9">
      <c r="A64" s="3">
        <f t="shared" si="4"/>
        <v>46144</v>
      </c>
      <c r="B64" s="3" t="str">
        <f>TEXT(calendar[[#This Row],[date]], "yymmdd")</f>
        <v>260502</v>
      </c>
      <c r="C64" s="4">
        <f>DATEDIF("1/1/2024", calendar[[#This Row],[date]], "M")</f>
        <v>28</v>
      </c>
      <c r="D64" s="3" t="str">
        <f>TEXT(calendar[[#This Row],[date]], "dd")</f>
        <v>02</v>
      </c>
      <c r="E64" s="1">
        <f>IF(OR(WEEKDAY(calendar[[#This Row],[date]])= 1, WEEKDAY(calendar[[#This Row],[date]])=7), 0, 1)</f>
        <v>0</v>
      </c>
      <c r="F64">
        <f t="shared" si="0"/>
        <v>18</v>
      </c>
      <c r="G64" t="str">
        <f t="shared" si="1"/>
        <v>202605</v>
      </c>
      <c r="H64" s="5">
        <f t="shared" si="2"/>
        <v>20</v>
      </c>
      <c r="I64">
        <f t="shared" si="3"/>
        <v>4</v>
      </c>
    </row>
    <row r="65" spans="1:9">
      <c r="A65" s="3">
        <f t="shared" si="4"/>
        <v>46145</v>
      </c>
      <c r="B65" s="3" t="str">
        <f>TEXT(calendar[[#This Row],[date]], "yymmdd")</f>
        <v>260503</v>
      </c>
      <c r="C65" s="4">
        <f>DATEDIF("1/1/2024", calendar[[#This Row],[date]], "M")</f>
        <v>28</v>
      </c>
      <c r="D65" s="3" t="str">
        <f>TEXT(calendar[[#This Row],[date]], "dd")</f>
        <v>03</v>
      </c>
      <c r="E65" s="1">
        <f>IF(OR(WEEKDAY(calendar[[#This Row],[date]])= 1, WEEKDAY(calendar[[#This Row],[date]])=7), 0, 1)</f>
        <v>0</v>
      </c>
      <c r="F65">
        <f t="shared" si="0"/>
        <v>18</v>
      </c>
      <c r="G65" t="str">
        <f t="shared" si="1"/>
        <v>202605</v>
      </c>
      <c r="H65" s="5">
        <f t="shared" si="2"/>
        <v>20</v>
      </c>
      <c r="I65">
        <f t="shared" si="3"/>
        <v>4</v>
      </c>
    </row>
    <row r="66" spans="1:9">
      <c r="A66" s="3">
        <f t="shared" si="4"/>
        <v>46146</v>
      </c>
      <c r="B66" s="3" t="str">
        <f>TEXT(calendar[[#This Row],[date]], "yymmdd")</f>
        <v>260504</v>
      </c>
      <c r="C66" s="4">
        <f>DATEDIF("1/1/2024", calendar[[#This Row],[date]], "M")</f>
        <v>28</v>
      </c>
      <c r="D66" s="3" t="str">
        <f>TEXT(calendar[[#This Row],[date]], "dd")</f>
        <v>04</v>
      </c>
      <c r="E66" s="1">
        <f>IF(OR(WEEKDAY(calendar[[#This Row],[date]])= 1, WEEKDAY(calendar[[#This Row],[date]])=7), 0, 1)</f>
        <v>1</v>
      </c>
      <c r="F66">
        <f t="shared" ref="F66:F129" si="5">_xlfn.ISOWEEKNUM(A66)</f>
        <v>19</v>
      </c>
      <c r="G66" t="str">
        <f t="shared" ref="G66:G129" si="6">TEXT(A66, "yyyymm")</f>
        <v>202605</v>
      </c>
      <c r="H66" s="5">
        <f t="shared" ref="H66:H129" si="7">NETWORKDAYS(EOMONTH(A66,-1)+1,EOMONTH(A66,0), L$2:L$11)</f>
        <v>20</v>
      </c>
      <c r="I66">
        <f t="shared" si="3"/>
        <v>4</v>
      </c>
    </row>
    <row r="67" spans="1:9">
      <c r="A67" s="3">
        <f t="shared" si="4"/>
        <v>46147</v>
      </c>
      <c r="B67" s="3" t="str">
        <f>TEXT(calendar[[#This Row],[date]], "yymmdd")</f>
        <v>260505</v>
      </c>
      <c r="C67" s="4">
        <f>DATEDIF("1/1/2024", calendar[[#This Row],[date]], "M")</f>
        <v>28</v>
      </c>
      <c r="D67" s="3" t="str">
        <f>TEXT(calendar[[#This Row],[date]], "dd")</f>
        <v>05</v>
      </c>
      <c r="E67" s="1">
        <f>IF(OR(WEEKDAY(calendar[[#This Row],[date]])= 1, WEEKDAY(calendar[[#This Row],[date]])=7), 0, 1)</f>
        <v>1</v>
      </c>
      <c r="F67">
        <f t="shared" si="5"/>
        <v>19</v>
      </c>
      <c r="G67" t="str">
        <f t="shared" si="6"/>
        <v>202605</v>
      </c>
      <c r="H67" s="5">
        <f t="shared" si="7"/>
        <v>20</v>
      </c>
      <c r="I67">
        <f t="shared" ref="I67:I130" si="8">H67/5</f>
        <v>4</v>
      </c>
    </row>
    <row r="68" spans="1:9">
      <c r="A68" s="3">
        <f t="shared" ref="A68:A131" si="9">A67+1</f>
        <v>46148</v>
      </c>
      <c r="B68" s="3" t="str">
        <f>TEXT(calendar[[#This Row],[date]], "yymmdd")</f>
        <v>260506</v>
      </c>
      <c r="C68" s="4">
        <f>DATEDIF("1/1/2024", calendar[[#This Row],[date]], "M")</f>
        <v>28</v>
      </c>
      <c r="D68" s="3" t="str">
        <f>TEXT(calendar[[#This Row],[date]], "dd")</f>
        <v>06</v>
      </c>
      <c r="E68" s="1">
        <f>IF(OR(WEEKDAY(calendar[[#This Row],[date]])= 1, WEEKDAY(calendar[[#This Row],[date]])=7), 0, 1)</f>
        <v>1</v>
      </c>
      <c r="F68">
        <f t="shared" si="5"/>
        <v>19</v>
      </c>
      <c r="G68" t="str">
        <f t="shared" si="6"/>
        <v>202605</v>
      </c>
      <c r="H68" s="5">
        <f t="shared" si="7"/>
        <v>20</v>
      </c>
      <c r="I68">
        <f t="shared" si="8"/>
        <v>4</v>
      </c>
    </row>
    <row r="69" spans="1:9">
      <c r="A69" s="3">
        <f t="shared" si="9"/>
        <v>46149</v>
      </c>
      <c r="B69" s="3" t="str">
        <f>TEXT(calendar[[#This Row],[date]], "yymmdd")</f>
        <v>260507</v>
      </c>
      <c r="C69" s="4">
        <f>DATEDIF("1/1/2024", calendar[[#This Row],[date]], "M")</f>
        <v>28</v>
      </c>
      <c r="D69" s="3" t="str">
        <f>TEXT(calendar[[#This Row],[date]], "dd")</f>
        <v>07</v>
      </c>
      <c r="E69" s="1">
        <f>IF(OR(WEEKDAY(calendar[[#This Row],[date]])= 1, WEEKDAY(calendar[[#This Row],[date]])=7), 0, 1)</f>
        <v>1</v>
      </c>
      <c r="F69">
        <f t="shared" si="5"/>
        <v>19</v>
      </c>
      <c r="G69" t="str">
        <f t="shared" si="6"/>
        <v>202605</v>
      </c>
      <c r="H69" s="5">
        <f t="shared" si="7"/>
        <v>20</v>
      </c>
      <c r="I69">
        <f t="shared" si="8"/>
        <v>4</v>
      </c>
    </row>
    <row r="70" spans="1:9">
      <c r="A70" s="3">
        <f t="shared" si="9"/>
        <v>46150</v>
      </c>
      <c r="B70" s="3" t="str">
        <f>TEXT(calendar[[#This Row],[date]], "yymmdd")</f>
        <v>260508</v>
      </c>
      <c r="C70" s="4">
        <f>DATEDIF("1/1/2024", calendar[[#This Row],[date]], "M")</f>
        <v>28</v>
      </c>
      <c r="D70" s="3" t="str">
        <f>TEXT(calendar[[#This Row],[date]], "dd")</f>
        <v>08</v>
      </c>
      <c r="E70" s="1">
        <f>IF(OR(WEEKDAY(calendar[[#This Row],[date]])= 1, WEEKDAY(calendar[[#This Row],[date]])=7), 0, 1)</f>
        <v>1</v>
      </c>
      <c r="F70">
        <f t="shared" si="5"/>
        <v>19</v>
      </c>
      <c r="G70" t="str">
        <f t="shared" si="6"/>
        <v>202605</v>
      </c>
      <c r="H70" s="5">
        <f t="shared" si="7"/>
        <v>20</v>
      </c>
      <c r="I70">
        <f t="shared" si="8"/>
        <v>4</v>
      </c>
    </row>
    <row r="71" spans="1:9">
      <c r="A71" s="3">
        <f t="shared" si="9"/>
        <v>46151</v>
      </c>
      <c r="B71" s="3" t="str">
        <f>TEXT(calendar[[#This Row],[date]], "yymmdd")</f>
        <v>260509</v>
      </c>
      <c r="C71" s="4">
        <f>DATEDIF("1/1/2024", calendar[[#This Row],[date]], "M")</f>
        <v>28</v>
      </c>
      <c r="D71" s="3" t="str">
        <f>TEXT(calendar[[#This Row],[date]], "dd")</f>
        <v>09</v>
      </c>
      <c r="E71" s="1">
        <f>IF(OR(WEEKDAY(calendar[[#This Row],[date]])= 1, WEEKDAY(calendar[[#This Row],[date]])=7), 0, 1)</f>
        <v>0</v>
      </c>
      <c r="F71">
        <f t="shared" si="5"/>
        <v>19</v>
      </c>
      <c r="G71" t="str">
        <f t="shared" si="6"/>
        <v>202605</v>
      </c>
      <c r="H71" s="5">
        <f t="shared" si="7"/>
        <v>20</v>
      </c>
      <c r="I71">
        <f t="shared" si="8"/>
        <v>4</v>
      </c>
    </row>
    <row r="72" spans="1:9">
      <c r="A72" s="3">
        <f t="shared" si="9"/>
        <v>46152</v>
      </c>
      <c r="B72" s="3" t="str">
        <f>TEXT(calendar[[#This Row],[date]], "yymmdd")</f>
        <v>260510</v>
      </c>
      <c r="C72" s="4">
        <f>DATEDIF("1/1/2024", calendar[[#This Row],[date]], "M")</f>
        <v>28</v>
      </c>
      <c r="D72" s="3" t="str">
        <f>TEXT(calendar[[#This Row],[date]], "dd")</f>
        <v>10</v>
      </c>
      <c r="E72" s="1">
        <f>IF(OR(WEEKDAY(calendar[[#This Row],[date]])= 1, WEEKDAY(calendar[[#This Row],[date]])=7), 0, 1)</f>
        <v>0</v>
      </c>
      <c r="F72">
        <f t="shared" si="5"/>
        <v>19</v>
      </c>
      <c r="G72" t="str">
        <f t="shared" si="6"/>
        <v>202605</v>
      </c>
      <c r="H72" s="5">
        <f t="shared" si="7"/>
        <v>20</v>
      </c>
      <c r="I72">
        <f t="shared" si="8"/>
        <v>4</v>
      </c>
    </row>
    <row r="73" spans="1:9">
      <c r="A73" s="3">
        <f t="shared" si="9"/>
        <v>46153</v>
      </c>
      <c r="B73" s="3" t="str">
        <f>TEXT(calendar[[#This Row],[date]], "yymmdd")</f>
        <v>260511</v>
      </c>
      <c r="C73" s="4">
        <f>DATEDIF("1/1/2024", calendar[[#This Row],[date]], "M")</f>
        <v>28</v>
      </c>
      <c r="D73" s="3" t="str">
        <f>TEXT(calendar[[#This Row],[date]], "dd")</f>
        <v>11</v>
      </c>
      <c r="E73" s="1">
        <f>IF(OR(WEEKDAY(calendar[[#This Row],[date]])= 1, WEEKDAY(calendar[[#This Row],[date]])=7), 0, 1)</f>
        <v>1</v>
      </c>
      <c r="F73">
        <f t="shared" si="5"/>
        <v>20</v>
      </c>
      <c r="G73" t="str">
        <f t="shared" si="6"/>
        <v>202605</v>
      </c>
      <c r="H73" s="5">
        <f t="shared" si="7"/>
        <v>20</v>
      </c>
      <c r="I73">
        <f t="shared" si="8"/>
        <v>4</v>
      </c>
    </row>
    <row r="74" spans="1:9">
      <c r="A74" s="3">
        <f t="shared" si="9"/>
        <v>46154</v>
      </c>
      <c r="B74" s="3" t="str">
        <f>TEXT(calendar[[#This Row],[date]], "yymmdd")</f>
        <v>260512</v>
      </c>
      <c r="C74" s="4">
        <f>DATEDIF("1/1/2024", calendar[[#This Row],[date]], "M")</f>
        <v>28</v>
      </c>
      <c r="D74" s="3" t="str">
        <f>TEXT(calendar[[#This Row],[date]], "dd")</f>
        <v>12</v>
      </c>
      <c r="E74" s="1">
        <f>IF(OR(WEEKDAY(calendar[[#This Row],[date]])= 1, WEEKDAY(calendar[[#This Row],[date]])=7), 0, 1)</f>
        <v>1</v>
      </c>
      <c r="F74">
        <f t="shared" si="5"/>
        <v>20</v>
      </c>
      <c r="G74" t="str">
        <f t="shared" si="6"/>
        <v>202605</v>
      </c>
      <c r="H74" s="5">
        <f t="shared" si="7"/>
        <v>20</v>
      </c>
      <c r="I74">
        <f t="shared" si="8"/>
        <v>4</v>
      </c>
    </row>
    <row r="75" spans="1:9">
      <c r="A75" s="3">
        <f t="shared" si="9"/>
        <v>46155</v>
      </c>
      <c r="B75" s="3" t="str">
        <f>TEXT(calendar[[#This Row],[date]], "yymmdd")</f>
        <v>260513</v>
      </c>
      <c r="C75" s="4">
        <f>DATEDIF("1/1/2024", calendar[[#This Row],[date]], "M")</f>
        <v>28</v>
      </c>
      <c r="D75" s="3" t="str">
        <f>TEXT(calendar[[#This Row],[date]], "dd")</f>
        <v>13</v>
      </c>
      <c r="E75" s="1">
        <f>IF(OR(WEEKDAY(calendar[[#This Row],[date]])= 1, WEEKDAY(calendar[[#This Row],[date]])=7), 0, 1)</f>
        <v>1</v>
      </c>
      <c r="F75">
        <f t="shared" si="5"/>
        <v>20</v>
      </c>
      <c r="G75" t="str">
        <f t="shared" si="6"/>
        <v>202605</v>
      </c>
      <c r="H75" s="5">
        <f t="shared" si="7"/>
        <v>20</v>
      </c>
      <c r="I75">
        <f t="shared" si="8"/>
        <v>4</v>
      </c>
    </row>
    <row r="76" spans="1:9">
      <c r="A76" s="3">
        <f t="shared" si="9"/>
        <v>46156</v>
      </c>
      <c r="B76" s="3" t="str">
        <f>TEXT(calendar[[#This Row],[date]], "yymmdd")</f>
        <v>260514</v>
      </c>
      <c r="C76" s="4">
        <f>DATEDIF("1/1/2024", calendar[[#This Row],[date]], "M")</f>
        <v>28</v>
      </c>
      <c r="D76" s="3" t="str">
        <f>TEXT(calendar[[#This Row],[date]], "dd")</f>
        <v>14</v>
      </c>
      <c r="E76" s="1">
        <f>IF(OR(WEEKDAY(calendar[[#This Row],[date]])= 1, WEEKDAY(calendar[[#This Row],[date]])=7), 0, 1)</f>
        <v>1</v>
      </c>
      <c r="F76">
        <f t="shared" si="5"/>
        <v>20</v>
      </c>
      <c r="G76" t="str">
        <f t="shared" si="6"/>
        <v>202605</v>
      </c>
      <c r="H76" s="5">
        <f t="shared" si="7"/>
        <v>20</v>
      </c>
      <c r="I76">
        <f t="shared" si="8"/>
        <v>4</v>
      </c>
    </row>
    <row r="77" spans="1:9">
      <c r="A77" s="3">
        <f t="shared" si="9"/>
        <v>46157</v>
      </c>
      <c r="B77" s="3" t="str">
        <f>TEXT(calendar[[#This Row],[date]], "yymmdd")</f>
        <v>260515</v>
      </c>
      <c r="C77" s="4">
        <f>DATEDIF("1/1/2024", calendar[[#This Row],[date]], "M")</f>
        <v>28</v>
      </c>
      <c r="D77" s="3" t="str">
        <f>TEXT(calendar[[#This Row],[date]], "dd")</f>
        <v>15</v>
      </c>
      <c r="E77" s="1">
        <f>IF(OR(WEEKDAY(calendar[[#This Row],[date]])= 1, WEEKDAY(calendar[[#This Row],[date]])=7), 0, 1)</f>
        <v>1</v>
      </c>
      <c r="F77">
        <f t="shared" si="5"/>
        <v>20</v>
      </c>
      <c r="G77" t="str">
        <f t="shared" si="6"/>
        <v>202605</v>
      </c>
      <c r="H77" s="5">
        <f t="shared" si="7"/>
        <v>20</v>
      </c>
      <c r="I77">
        <f t="shared" si="8"/>
        <v>4</v>
      </c>
    </row>
    <row r="78" spans="1:9">
      <c r="A78" s="3">
        <f t="shared" si="9"/>
        <v>46158</v>
      </c>
      <c r="B78" s="3" t="str">
        <f>TEXT(calendar[[#This Row],[date]], "yymmdd")</f>
        <v>260516</v>
      </c>
      <c r="C78" s="4">
        <f>DATEDIF("1/1/2024", calendar[[#This Row],[date]], "M")</f>
        <v>28</v>
      </c>
      <c r="D78" s="3" t="str">
        <f>TEXT(calendar[[#This Row],[date]], "dd")</f>
        <v>16</v>
      </c>
      <c r="E78" s="1">
        <f>IF(OR(WEEKDAY(calendar[[#This Row],[date]])= 1, WEEKDAY(calendar[[#This Row],[date]])=7), 0, 1)</f>
        <v>0</v>
      </c>
      <c r="F78">
        <f t="shared" si="5"/>
        <v>20</v>
      </c>
      <c r="G78" t="str">
        <f t="shared" si="6"/>
        <v>202605</v>
      </c>
      <c r="H78" s="5">
        <f t="shared" si="7"/>
        <v>20</v>
      </c>
      <c r="I78">
        <f t="shared" si="8"/>
        <v>4</v>
      </c>
    </row>
    <row r="79" spans="1:9">
      <c r="A79" s="3">
        <f t="shared" si="9"/>
        <v>46159</v>
      </c>
      <c r="B79" s="3" t="str">
        <f>TEXT(calendar[[#This Row],[date]], "yymmdd")</f>
        <v>260517</v>
      </c>
      <c r="C79" s="4">
        <f>DATEDIF("1/1/2024", calendar[[#This Row],[date]], "M")</f>
        <v>28</v>
      </c>
      <c r="D79" s="3" t="str">
        <f>TEXT(calendar[[#This Row],[date]], "dd")</f>
        <v>17</v>
      </c>
      <c r="E79" s="1">
        <f>IF(OR(WEEKDAY(calendar[[#This Row],[date]])= 1, WEEKDAY(calendar[[#This Row],[date]])=7), 0, 1)</f>
        <v>0</v>
      </c>
      <c r="F79">
        <f t="shared" si="5"/>
        <v>20</v>
      </c>
      <c r="G79" t="str">
        <f t="shared" si="6"/>
        <v>202605</v>
      </c>
      <c r="H79" s="5">
        <f t="shared" si="7"/>
        <v>20</v>
      </c>
      <c r="I79">
        <f t="shared" si="8"/>
        <v>4</v>
      </c>
    </row>
    <row r="80" spans="1:9">
      <c r="A80" s="3">
        <f t="shared" si="9"/>
        <v>46160</v>
      </c>
      <c r="B80" s="3" t="str">
        <f>TEXT(calendar[[#This Row],[date]], "yymmdd")</f>
        <v>260518</v>
      </c>
      <c r="C80" s="4">
        <f>DATEDIF("1/1/2024", calendar[[#This Row],[date]], "M")</f>
        <v>28</v>
      </c>
      <c r="D80" s="3" t="str">
        <f>TEXT(calendar[[#This Row],[date]], "dd")</f>
        <v>18</v>
      </c>
      <c r="E80" s="1">
        <f>IF(OR(WEEKDAY(calendar[[#This Row],[date]])= 1, WEEKDAY(calendar[[#This Row],[date]])=7), 0, 1)</f>
        <v>1</v>
      </c>
      <c r="F80">
        <f t="shared" si="5"/>
        <v>21</v>
      </c>
      <c r="G80" t="str">
        <f t="shared" si="6"/>
        <v>202605</v>
      </c>
      <c r="H80" s="5">
        <f t="shared" si="7"/>
        <v>20</v>
      </c>
      <c r="I80">
        <f t="shared" si="8"/>
        <v>4</v>
      </c>
    </row>
    <row r="81" spans="1:9">
      <c r="A81" s="3">
        <f t="shared" si="9"/>
        <v>46161</v>
      </c>
      <c r="B81" s="3" t="str">
        <f>TEXT(calendar[[#This Row],[date]], "yymmdd")</f>
        <v>260519</v>
      </c>
      <c r="C81" s="4">
        <f>DATEDIF("1/1/2024", calendar[[#This Row],[date]], "M")</f>
        <v>28</v>
      </c>
      <c r="D81" s="3" t="str">
        <f>TEXT(calendar[[#This Row],[date]], "dd")</f>
        <v>19</v>
      </c>
      <c r="E81" s="1">
        <f>IF(OR(WEEKDAY(calendar[[#This Row],[date]])= 1, WEEKDAY(calendar[[#This Row],[date]])=7), 0, 1)</f>
        <v>1</v>
      </c>
      <c r="F81">
        <f t="shared" si="5"/>
        <v>21</v>
      </c>
      <c r="G81" t="str">
        <f t="shared" si="6"/>
        <v>202605</v>
      </c>
      <c r="H81" s="5">
        <f t="shared" si="7"/>
        <v>20</v>
      </c>
      <c r="I81">
        <f t="shared" si="8"/>
        <v>4</v>
      </c>
    </row>
    <row r="82" spans="1:9">
      <c r="A82" s="3">
        <f t="shared" si="9"/>
        <v>46162</v>
      </c>
      <c r="B82" s="3" t="str">
        <f>TEXT(calendar[[#This Row],[date]], "yymmdd")</f>
        <v>260520</v>
      </c>
      <c r="C82" s="4">
        <f>DATEDIF("1/1/2024", calendar[[#This Row],[date]], "M")</f>
        <v>28</v>
      </c>
      <c r="D82" s="3" t="str">
        <f>TEXT(calendar[[#This Row],[date]], "dd")</f>
        <v>20</v>
      </c>
      <c r="E82" s="1">
        <f>IF(OR(WEEKDAY(calendar[[#This Row],[date]])= 1, WEEKDAY(calendar[[#This Row],[date]])=7), 0, 1)</f>
        <v>1</v>
      </c>
      <c r="F82">
        <f t="shared" si="5"/>
        <v>21</v>
      </c>
      <c r="G82" t="str">
        <f t="shared" si="6"/>
        <v>202605</v>
      </c>
      <c r="H82" s="5">
        <f t="shared" si="7"/>
        <v>20</v>
      </c>
      <c r="I82">
        <f t="shared" si="8"/>
        <v>4</v>
      </c>
    </row>
    <row r="83" spans="1:9">
      <c r="A83" s="3">
        <f t="shared" si="9"/>
        <v>46163</v>
      </c>
      <c r="B83" s="3" t="str">
        <f>TEXT(calendar[[#This Row],[date]], "yymmdd")</f>
        <v>260521</v>
      </c>
      <c r="C83" s="4">
        <f>DATEDIF("1/1/2024", calendar[[#This Row],[date]], "M")</f>
        <v>28</v>
      </c>
      <c r="D83" s="3" t="str">
        <f>TEXT(calendar[[#This Row],[date]], "dd")</f>
        <v>21</v>
      </c>
      <c r="E83" s="1">
        <f>IF(OR(WEEKDAY(calendar[[#This Row],[date]])= 1, WEEKDAY(calendar[[#This Row],[date]])=7), 0, 1)</f>
        <v>1</v>
      </c>
      <c r="F83">
        <f t="shared" si="5"/>
        <v>21</v>
      </c>
      <c r="G83" t="str">
        <f t="shared" si="6"/>
        <v>202605</v>
      </c>
      <c r="H83" s="5">
        <f t="shared" si="7"/>
        <v>20</v>
      </c>
      <c r="I83">
        <f t="shared" si="8"/>
        <v>4</v>
      </c>
    </row>
    <row r="84" spans="1:9">
      <c r="A84" s="3">
        <f t="shared" si="9"/>
        <v>46164</v>
      </c>
      <c r="B84" s="3" t="str">
        <f>TEXT(calendar[[#This Row],[date]], "yymmdd")</f>
        <v>260522</v>
      </c>
      <c r="C84" s="4">
        <f>DATEDIF("1/1/2024", calendar[[#This Row],[date]], "M")</f>
        <v>28</v>
      </c>
      <c r="D84" s="3" t="str">
        <f>TEXT(calendar[[#This Row],[date]], "dd")</f>
        <v>22</v>
      </c>
      <c r="E84" s="1">
        <f>IF(OR(WEEKDAY(calendar[[#This Row],[date]])= 1, WEEKDAY(calendar[[#This Row],[date]])=7), 0, 1)</f>
        <v>1</v>
      </c>
      <c r="F84">
        <f t="shared" si="5"/>
        <v>21</v>
      </c>
      <c r="G84" t="str">
        <f t="shared" si="6"/>
        <v>202605</v>
      </c>
      <c r="H84" s="5">
        <f t="shared" si="7"/>
        <v>20</v>
      </c>
      <c r="I84">
        <f t="shared" si="8"/>
        <v>4</v>
      </c>
    </row>
    <row r="85" spans="1:9">
      <c r="A85" s="3">
        <f t="shared" si="9"/>
        <v>46165</v>
      </c>
      <c r="B85" s="3" t="str">
        <f>TEXT(calendar[[#This Row],[date]], "yymmdd")</f>
        <v>260523</v>
      </c>
      <c r="C85" s="4">
        <f>DATEDIF("1/1/2024", calendar[[#This Row],[date]], "M")</f>
        <v>28</v>
      </c>
      <c r="D85" s="3" t="str">
        <f>TEXT(calendar[[#This Row],[date]], "dd")</f>
        <v>23</v>
      </c>
      <c r="E85" s="1">
        <f>IF(OR(WEEKDAY(calendar[[#This Row],[date]])= 1, WEEKDAY(calendar[[#This Row],[date]])=7), 0, 1)</f>
        <v>0</v>
      </c>
      <c r="F85">
        <f t="shared" si="5"/>
        <v>21</v>
      </c>
      <c r="G85" t="str">
        <f t="shared" si="6"/>
        <v>202605</v>
      </c>
      <c r="H85" s="5">
        <f t="shared" si="7"/>
        <v>20</v>
      </c>
      <c r="I85">
        <f t="shared" si="8"/>
        <v>4</v>
      </c>
    </row>
    <row r="86" spans="1:9">
      <c r="A86" s="3">
        <f t="shared" si="9"/>
        <v>46166</v>
      </c>
      <c r="B86" s="3" t="str">
        <f>TEXT(calendar[[#This Row],[date]], "yymmdd")</f>
        <v>260524</v>
      </c>
      <c r="C86" s="4">
        <f>DATEDIF("1/1/2024", calendar[[#This Row],[date]], "M")</f>
        <v>28</v>
      </c>
      <c r="D86" s="3" t="str">
        <f>TEXT(calendar[[#This Row],[date]], "dd")</f>
        <v>24</v>
      </c>
      <c r="E86" s="1">
        <f>IF(OR(WEEKDAY(calendar[[#This Row],[date]])= 1, WEEKDAY(calendar[[#This Row],[date]])=7), 0, 1)</f>
        <v>0</v>
      </c>
      <c r="F86">
        <f t="shared" si="5"/>
        <v>21</v>
      </c>
      <c r="G86" t="str">
        <f t="shared" si="6"/>
        <v>202605</v>
      </c>
      <c r="H86" s="5">
        <f t="shared" si="7"/>
        <v>20</v>
      </c>
      <c r="I86">
        <f t="shared" si="8"/>
        <v>4</v>
      </c>
    </row>
    <row r="87" spans="1:9">
      <c r="A87" s="3">
        <f t="shared" si="9"/>
        <v>46167</v>
      </c>
      <c r="B87" s="3" t="str">
        <f>TEXT(calendar[[#This Row],[date]], "yymmdd")</f>
        <v>260525</v>
      </c>
      <c r="C87" s="4">
        <f>DATEDIF("1/1/2024", calendar[[#This Row],[date]], "M")</f>
        <v>28</v>
      </c>
      <c r="D87" s="3" t="str">
        <f>TEXT(calendar[[#This Row],[date]], "dd")</f>
        <v>25</v>
      </c>
      <c r="E87" s="1">
        <f>IF(OR(WEEKDAY(calendar[[#This Row],[date]])= 1, WEEKDAY(calendar[[#This Row],[date]])=7), 0, 1)</f>
        <v>1</v>
      </c>
      <c r="F87">
        <f t="shared" si="5"/>
        <v>22</v>
      </c>
      <c r="G87" t="str">
        <f t="shared" si="6"/>
        <v>202605</v>
      </c>
      <c r="H87" s="5">
        <f t="shared" si="7"/>
        <v>20</v>
      </c>
      <c r="I87">
        <f t="shared" si="8"/>
        <v>4</v>
      </c>
    </row>
    <row r="88" spans="1:9">
      <c r="A88" s="3">
        <f t="shared" si="9"/>
        <v>46168</v>
      </c>
      <c r="B88" s="3" t="str">
        <f>TEXT(calendar[[#This Row],[date]], "yymmdd")</f>
        <v>260526</v>
      </c>
      <c r="C88" s="4">
        <f>DATEDIF("1/1/2024", calendar[[#This Row],[date]], "M")</f>
        <v>28</v>
      </c>
      <c r="D88" s="3" t="str">
        <f>TEXT(calendar[[#This Row],[date]], "dd")</f>
        <v>26</v>
      </c>
      <c r="E88" s="1">
        <f>IF(OR(WEEKDAY(calendar[[#This Row],[date]])= 1, WEEKDAY(calendar[[#This Row],[date]])=7), 0, 1)</f>
        <v>1</v>
      </c>
      <c r="F88">
        <f t="shared" si="5"/>
        <v>22</v>
      </c>
      <c r="G88" t="str">
        <f t="shared" si="6"/>
        <v>202605</v>
      </c>
      <c r="H88" s="5">
        <f t="shared" si="7"/>
        <v>20</v>
      </c>
      <c r="I88">
        <f t="shared" si="8"/>
        <v>4</v>
      </c>
    </row>
    <row r="89" spans="1:9">
      <c r="A89" s="3">
        <f t="shared" si="9"/>
        <v>46169</v>
      </c>
      <c r="B89" s="3" t="str">
        <f>TEXT(calendar[[#This Row],[date]], "yymmdd")</f>
        <v>260527</v>
      </c>
      <c r="C89" s="4">
        <f>DATEDIF("1/1/2024", calendar[[#This Row],[date]], "M")</f>
        <v>28</v>
      </c>
      <c r="D89" s="3" t="str">
        <f>TEXT(calendar[[#This Row],[date]], "dd")</f>
        <v>27</v>
      </c>
      <c r="E89" s="1">
        <f>IF(OR(WEEKDAY(calendar[[#This Row],[date]])= 1, WEEKDAY(calendar[[#This Row],[date]])=7), 0, 1)</f>
        <v>1</v>
      </c>
      <c r="F89">
        <f t="shared" si="5"/>
        <v>22</v>
      </c>
      <c r="G89" t="str">
        <f t="shared" si="6"/>
        <v>202605</v>
      </c>
      <c r="H89" s="5">
        <f t="shared" si="7"/>
        <v>20</v>
      </c>
      <c r="I89">
        <f t="shared" si="8"/>
        <v>4</v>
      </c>
    </row>
    <row r="90" spans="1:9">
      <c r="A90" s="3">
        <f t="shared" si="9"/>
        <v>46170</v>
      </c>
      <c r="B90" s="3" t="str">
        <f>TEXT(calendar[[#This Row],[date]], "yymmdd")</f>
        <v>260528</v>
      </c>
      <c r="C90" s="4">
        <f>DATEDIF("1/1/2024", calendar[[#This Row],[date]], "M")</f>
        <v>28</v>
      </c>
      <c r="D90" s="3" t="str">
        <f>TEXT(calendar[[#This Row],[date]], "dd")</f>
        <v>28</v>
      </c>
      <c r="E90" s="1">
        <f>IF(OR(WEEKDAY(calendar[[#This Row],[date]])= 1, WEEKDAY(calendar[[#This Row],[date]])=7), 0, 1)</f>
        <v>1</v>
      </c>
      <c r="F90">
        <f t="shared" si="5"/>
        <v>22</v>
      </c>
      <c r="G90" t="str">
        <f t="shared" si="6"/>
        <v>202605</v>
      </c>
      <c r="H90" s="5">
        <f t="shared" si="7"/>
        <v>20</v>
      </c>
      <c r="I90">
        <f t="shared" si="8"/>
        <v>4</v>
      </c>
    </row>
    <row r="91" spans="1:9">
      <c r="A91" s="3">
        <f t="shared" si="9"/>
        <v>46171</v>
      </c>
      <c r="B91" s="3" t="str">
        <f>TEXT(calendar[[#This Row],[date]], "yymmdd")</f>
        <v>260529</v>
      </c>
      <c r="C91" s="4">
        <f>DATEDIF("1/1/2024", calendar[[#This Row],[date]], "M")</f>
        <v>28</v>
      </c>
      <c r="D91" s="3" t="str">
        <f>TEXT(calendar[[#This Row],[date]], "dd")</f>
        <v>29</v>
      </c>
      <c r="E91" s="1">
        <f>IF(OR(WEEKDAY(calendar[[#This Row],[date]])= 1, WEEKDAY(calendar[[#This Row],[date]])=7), 0, 1)</f>
        <v>1</v>
      </c>
      <c r="F91">
        <f t="shared" si="5"/>
        <v>22</v>
      </c>
      <c r="G91" t="str">
        <f t="shared" si="6"/>
        <v>202605</v>
      </c>
      <c r="H91" s="5">
        <f t="shared" si="7"/>
        <v>20</v>
      </c>
      <c r="I91">
        <f t="shared" si="8"/>
        <v>4</v>
      </c>
    </row>
    <row r="92" spans="1:9">
      <c r="A92" s="3">
        <f t="shared" si="9"/>
        <v>46172</v>
      </c>
      <c r="B92" s="3" t="str">
        <f>TEXT(calendar[[#This Row],[date]], "yymmdd")</f>
        <v>260530</v>
      </c>
      <c r="C92" s="4">
        <f>DATEDIF("1/1/2024", calendar[[#This Row],[date]], "M")</f>
        <v>28</v>
      </c>
      <c r="D92" s="3" t="str">
        <f>TEXT(calendar[[#This Row],[date]], "dd")</f>
        <v>30</v>
      </c>
      <c r="E92" s="1">
        <f>IF(OR(WEEKDAY(calendar[[#This Row],[date]])= 1, WEEKDAY(calendar[[#This Row],[date]])=7), 0, 1)</f>
        <v>0</v>
      </c>
      <c r="F92">
        <f t="shared" si="5"/>
        <v>22</v>
      </c>
      <c r="G92" t="str">
        <f t="shared" si="6"/>
        <v>202605</v>
      </c>
      <c r="H92" s="5">
        <f t="shared" si="7"/>
        <v>20</v>
      </c>
      <c r="I92">
        <f t="shared" si="8"/>
        <v>4</v>
      </c>
    </row>
    <row r="93" spans="1:9">
      <c r="A93" s="3">
        <f t="shared" si="9"/>
        <v>46173</v>
      </c>
      <c r="B93" s="3" t="str">
        <f>TEXT(calendar[[#This Row],[date]], "yymmdd")</f>
        <v>260531</v>
      </c>
      <c r="C93" s="4">
        <f>DATEDIF("1/1/2024", calendar[[#This Row],[date]], "M")</f>
        <v>28</v>
      </c>
      <c r="D93" s="3" t="str">
        <f>TEXT(calendar[[#This Row],[date]], "dd")</f>
        <v>31</v>
      </c>
      <c r="E93" s="1">
        <f>IF(OR(WEEKDAY(calendar[[#This Row],[date]])= 1, WEEKDAY(calendar[[#This Row],[date]])=7), 0, 1)</f>
        <v>0</v>
      </c>
      <c r="F93">
        <f t="shared" si="5"/>
        <v>22</v>
      </c>
      <c r="G93" t="str">
        <f t="shared" si="6"/>
        <v>202605</v>
      </c>
      <c r="H93" s="5">
        <f t="shared" si="7"/>
        <v>20</v>
      </c>
      <c r="I93">
        <f t="shared" si="8"/>
        <v>4</v>
      </c>
    </row>
    <row r="94" spans="1:9">
      <c r="A94" s="3">
        <f t="shared" si="9"/>
        <v>46174</v>
      </c>
      <c r="B94" s="3" t="str">
        <f>TEXT(calendar[[#This Row],[date]], "yymmdd")</f>
        <v>260601</v>
      </c>
      <c r="C94" s="4">
        <f>DATEDIF("1/1/2024", calendar[[#This Row],[date]], "M")</f>
        <v>29</v>
      </c>
      <c r="D94" s="3" t="str">
        <f>TEXT(calendar[[#This Row],[date]], "dd")</f>
        <v>01</v>
      </c>
      <c r="E94" s="1">
        <f>IF(OR(WEEKDAY(calendar[[#This Row],[date]])= 1, WEEKDAY(calendar[[#This Row],[date]])=7), 0, 1)</f>
        <v>1</v>
      </c>
      <c r="F94">
        <f t="shared" si="5"/>
        <v>23</v>
      </c>
      <c r="G94" t="str">
        <f t="shared" si="6"/>
        <v>202606</v>
      </c>
      <c r="H94" s="5">
        <f t="shared" si="7"/>
        <v>21</v>
      </c>
      <c r="I94">
        <f t="shared" si="8"/>
        <v>4.2</v>
      </c>
    </row>
    <row r="95" spans="1:9">
      <c r="A95" s="3">
        <f t="shared" si="9"/>
        <v>46175</v>
      </c>
      <c r="B95" s="3" t="str">
        <f>TEXT(calendar[[#This Row],[date]], "yymmdd")</f>
        <v>260602</v>
      </c>
      <c r="C95" s="4">
        <f>DATEDIF("1/1/2024", calendar[[#This Row],[date]], "M")</f>
        <v>29</v>
      </c>
      <c r="D95" s="3" t="str">
        <f>TEXT(calendar[[#This Row],[date]], "dd")</f>
        <v>02</v>
      </c>
      <c r="E95" s="1">
        <f>IF(OR(WEEKDAY(calendar[[#This Row],[date]])= 1, WEEKDAY(calendar[[#This Row],[date]])=7), 0, 1)</f>
        <v>1</v>
      </c>
      <c r="F95">
        <f t="shared" si="5"/>
        <v>23</v>
      </c>
      <c r="G95" t="str">
        <f t="shared" si="6"/>
        <v>202606</v>
      </c>
      <c r="H95" s="5">
        <f t="shared" si="7"/>
        <v>21</v>
      </c>
      <c r="I95">
        <f t="shared" si="8"/>
        <v>4.2</v>
      </c>
    </row>
    <row r="96" spans="1:9">
      <c r="A96" s="3">
        <f t="shared" si="9"/>
        <v>46176</v>
      </c>
      <c r="B96" s="3" t="str">
        <f>TEXT(calendar[[#This Row],[date]], "yymmdd")</f>
        <v>260603</v>
      </c>
      <c r="C96" s="4">
        <f>DATEDIF("1/1/2024", calendar[[#This Row],[date]], "M")</f>
        <v>29</v>
      </c>
      <c r="D96" s="3" t="str">
        <f>TEXT(calendar[[#This Row],[date]], "dd")</f>
        <v>03</v>
      </c>
      <c r="E96" s="1">
        <f>IF(OR(WEEKDAY(calendar[[#This Row],[date]])= 1, WEEKDAY(calendar[[#This Row],[date]])=7), 0, 1)</f>
        <v>1</v>
      </c>
      <c r="F96">
        <f t="shared" si="5"/>
        <v>23</v>
      </c>
      <c r="G96" t="str">
        <f t="shared" si="6"/>
        <v>202606</v>
      </c>
      <c r="H96" s="5">
        <f t="shared" si="7"/>
        <v>21</v>
      </c>
      <c r="I96">
        <f t="shared" si="8"/>
        <v>4.2</v>
      </c>
    </row>
    <row r="97" spans="1:9">
      <c r="A97" s="3">
        <f t="shared" si="9"/>
        <v>46177</v>
      </c>
      <c r="B97" s="3" t="str">
        <f>TEXT(calendar[[#This Row],[date]], "yymmdd")</f>
        <v>260604</v>
      </c>
      <c r="C97" s="4">
        <f>DATEDIF("1/1/2024", calendar[[#This Row],[date]], "M")</f>
        <v>29</v>
      </c>
      <c r="D97" s="3" t="str">
        <f>TEXT(calendar[[#This Row],[date]], "dd")</f>
        <v>04</v>
      </c>
      <c r="E97" s="1">
        <f>IF(OR(WEEKDAY(calendar[[#This Row],[date]])= 1, WEEKDAY(calendar[[#This Row],[date]])=7), 0, 1)</f>
        <v>1</v>
      </c>
      <c r="F97">
        <f t="shared" si="5"/>
        <v>23</v>
      </c>
      <c r="G97" t="str">
        <f t="shared" si="6"/>
        <v>202606</v>
      </c>
      <c r="H97" s="5">
        <f t="shared" si="7"/>
        <v>21</v>
      </c>
      <c r="I97">
        <f t="shared" si="8"/>
        <v>4.2</v>
      </c>
    </row>
    <row r="98" spans="1:9">
      <c r="A98" s="3">
        <f t="shared" si="9"/>
        <v>46178</v>
      </c>
      <c r="B98" s="3" t="str">
        <f>TEXT(calendar[[#This Row],[date]], "yymmdd")</f>
        <v>260605</v>
      </c>
      <c r="C98" s="4">
        <f>DATEDIF("1/1/2024", calendar[[#This Row],[date]], "M")</f>
        <v>29</v>
      </c>
      <c r="D98" s="3" t="str">
        <f>TEXT(calendar[[#This Row],[date]], "dd")</f>
        <v>05</v>
      </c>
      <c r="E98" s="1">
        <f>IF(OR(WEEKDAY(calendar[[#This Row],[date]])= 1, WEEKDAY(calendar[[#This Row],[date]])=7), 0, 1)</f>
        <v>1</v>
      </c>
      <c r="F98">
        <f t="shared" si="5"/>
        <v>23</v>
      </c>
      <c r="G98" t="str">
        <f t="shared" si="6"/>
        <v>202606</v>
      </c>
      <c r="H98" s="5">
        <f t="shared" si="7"/>
        <v>21</v>
      </c>
      <c r="I98">
        <f t="shared" si="8"/>
        <v>4.2</v>
      </c>
    </row>
    <row r="99" spans="1:9">
      <c r="A99" s="3">
        <f t="shared" si="9"/>
        <v>46179</v>
      </c>
      <c r="B99" s="3" t="str">
        <f>TEXT(calendar[[#This Row],[date]], "yymmdd")</f>
        <v>260606</v>
      </c>
      <c r="C99" s="4">
        <f>DATEDIF("1/1/2024", calendar[[#This Row],[date]], "M")</f>
        <v>29</v>
      </c>
      <c r="D99" s="3" t="str">
        <f>TEXT(calendar[[#This Row],[date]], "dd")</f>
        <v>06</v>
      </c>
      <c r="E99" s="1">
        <f>IF(OR(WEEKDAY(calendar[[#This Row],[date]])= 1, WEEKDAY(calendar[[#This Row],[date]])=7), 0, 1)</f>
        <v>0</v>
      </c>
      <c r="F99">
        <f t="shared" si="5"/>
        <v>23</v>
      </c>
      <c r="G99" t="str">
        <f t="shared" si="6"/>
        <v>202606</v>
      </c>
      <c r="H99" s="5">
        <f t="shared" si="7"/>
        <v>21</v>
      </c>
      <c r="I99">
        <f t="shared" si="8"/>
        <v>4.2</v>
      </c>
    </row>
    <row r="100" spans="1:9">
      <c r="A100" s="3">
        <f t="shared" si="9"/>
        <v>46180</v>
      </c>
      <c r="B100" s="3" t="str">
        <f>TEXT(calendar[[#This Row],[date]], "yymmdd")</f>
        <v>260607</v>
      </c>
      <c r="C100" s="4">
        <f>DATEDIF("1/1/2024", calendar[[#This Row],[date]], "M")</f>
        <v>29</v>
      </c>
      <c r="D100" s="3" t="str">
        <f>TEXT(calendar[[#This Row],[date]], "dd")</f>
        <v>07</v>
      </c>
      <c r="E100" s="1">
        <f>IF(OR(WEEKDAY(calendar[[#This Row],[date]])= 1, WEEKDAY(calendar[[#This Row],[date]])=7), 0, 1)</f>
        <v>0</v>
      </c>
      <c r="F100">
        <f t="shared" si="5"/>
        <v>23</v>
      </c>
      <c r="G100" t="str">
        <f t="shared" si="6"/>
        <v>202606</v>
      </c>
      <c r="H100" s="5">
        <f t="shared" si="7"/>
        <v>21</v>
      </c>
      <c r="I100">
        <f t="shared" si="8"/>
        <v>4.2</v>
      </c>
    </row>
    <row r="101" spans="1:9">
      <c r="A101" s="3">
        <f t="shared" si="9"/>
        <v>46181</v>
      </c>
      <c r="B101" s="3" t="str">
        <f>TEXT(calendar[[#This Row],[date]], "yymmdd")</f>
        <v>260608</v>
      </c>
      <c r="C101" s="4">
        <f>DATEDIF("1/1/2024", calendar[[#This Row],[date]], "M")</f>
        <v>29</v>
      </c>
      <c r="D101" s="3" t="str">
        <f>TEXT(calendar[[#This Row],[date]], "dd")</f>
        <v>08</v>
      </c>
      <c r="E101" s="1">
        <f>IF(OR(WEEKDAY(calendar[[#This Row],[date]])= 1, WEEKDAY(calendar[[#This Row],[date]])=7), 0, 1)</f>
        <v>1</v>
      </c>
      <c r="F101">
        <f t="shared" si="5"/>
        <v>24</v>
      </c>
      <c r="G101" t="str">
        <f t="shared" si="6"/>
        <v>202606</v>
      </c>
      <c r="H101" s="5">
        <f t="shared" si="7"/>
        <v>21</v>
      </c>
      <c r="I101">
        <f t="shared" si="8"/>
        <v>4.2</v>
      </c>
    </row>
    <row r="102" spans="1:9">
      <c r="A102" s="3">
        <f t="shared" si="9"/>
        <v>46182</v>
      </c>
      <c r="B102" s="3" t="str">
        <f>TEXT(calendar[[#This Row],[date]], "yymmdd")</f>
        <v>260609</v>
      </c>
      <c r="C102" s="4">
        <f>DATEDIF("1/1/2024", calendar[[#This Row],[date]], "M")</f>
        <v>29</v>
      </c>
      <c r="D102" s="3" t="str">
        <f>TEXT(calendar[[#This Row],[date]], "dd")</f>
        <v>09</v>
      </c>
      <c r="E102" s="1">
        <f>IF(OR(WEEKDAY(calendar[[#This Row],[date]])= 1, WEEKDAY(calendar[[#This Row],[date]])=7), 0, 1)</f>
        <v>1</v>
      </c>
      <c r="F102">
        <f t="shared" si="5"/>
        <v>24</v>
      </c>
      <c r="G102" t="str">
        <f t="shared" si="6"/>
        <v>202606</v>
      </c>
      <c r="H102" s="5">
        <f t="shared" si="7"/>
        <v>21</v>
      </c>
      <c r="I102">
        <f t="shared" si="8"/>
        <v>4.2</v>
      </c>
    </row>
    <row r="103" spans="1:9">
      <c r="A103" s="3">
        <f t="shared" si="9"/>
        <v>46183</v>
      </c>
      <c r="B103" s="3" t="str">
        <f>TEXT(calendar[[#This Row],[date]], "yymmdd")</f>
        <v>260610</v>
      </c>
      <c r="C103" s="4">
        <f>DATEDIF("1/1/2024", calendar[[#This Row],[date]], "M")</f>
        <v>29</v>
      </c>
      <c r="D103" s="3" t="str">
        <f>TEXT(calendar[[#This Row],[date]], "dd")</f>
        <v>10</v>
      </c>
      <c r="E103" s="1">
        <f>IF(OR(WEEKDAY(calendar[[#This Row],[date]])= 1, WEEKDAY(calendar[[#This Row],[date]])=7), 0, 1)</f>
        <v>1</v>
      </c>
      <c r="F103">
        <f t="shared" si="5"/>
        <v>24</v>
      </c>
      <c r="G103" t="str">
        <f t="shared" si="6"/>
        <v>202606</v>
      </c>
      <c r="H103" s="5">
        <f t="shared" si="7"/>
        <v>21</v>
      </c>
      <c r="I103">
        <f t="shared" si="8"/>
        <v>4.2</v>
      </c>
    </row>
    <row r="104" spans="1:9">
      <c r="A104" s="3">
        <f t="shared" si="9"/>
        <v>46184</v>
      </c>
      <c r="B104" s="3" t="str">
        <f>TEXT(calendar[[#This Row],[date]], "yymmdd")</f>
        <v>260611</v>
      </c>
      <c r="C104" s="4">
        <f>DATEDIF("1/1/2024", calendar[[#This Row],[date]], "M")</f>
        <v>29</v>
      </c>
      <c r="D104" s="3" t="str">
        <f>TEXT(calendar[[#This Row],[date]], "dd")</f>
        <v>11</v>
      </c>
      <c r="E104" s="1">
        <f>IF(OR(WEEKDAY(calendar[[#This Row],[date]])= 1, WEEKDAY(calendar[[#This Row],[date]])=7), 0, 1)</f>
        <v>1</v>
      </c>
      <c r="F104">
        <f t="shared" si="5"/>
        <v>24</v>
      </c>
      <c r="G104" t="str">
        <f t="shared" si="6"/>
        <v>202606</v>
      </c>
      <c r="H104" s="5">
        <f t="shared" si="7"/>
        <v>21</v>
      </c>
      <c r="I104">
        <f t="shared" si="8"/>
        <v>4.2</v>
      </c>
    </row>
    <row r="105" spans="1:9">
      <c r="A105" s="3">
        <f t="shared" si="9"/>
        <v>46185</v>
      </c>
      <c r="B105" s="3" t="str">
        <f>TEXT(calendar[[#This Row],[date]], "yymmdd")</f>
        <v>260612</v>
      </c>
      <c r="C105" s="4">
        <f>DATEDIF("1/1/2024", calendar[[#This Row],[date]], "M")</f>
        <v>29</v>
      </c>
      <c r="D105" s="3" t="str">
        <f>TEXT(calendar[[#This Row],[date]], "dd")</f>
        <v>12</v>
      </c>
      <c r="E105" s="1">
        <f>IF(OR(WEEKDAY(calendar[[#This Row],[date]])= 1, WEEKDAY(calendar[[#This Row],[date]])=7), 0, 1)</f>
        <v>1</v>
      </c>
      <c r="F105">
        <f t="shared" si="5"/>
        <v>24</v>
      </c>
      <c r="G105" t="str">
        <f t="shared" si="6"/>
        <v>202606</v>
      </c>
      <c r="H105" s="5">
        <f t="shared" si="7"/>
        <v>21</v>
      </c>
      <c r="I105">
        <f t="shared" si="8"/>
        <v>4.2</v>
      </c>
    </row>
    <row r="106" spans="1:9">
      <c r="A106" s="3">
        <f t="shared" si="9"/>
        <v>46186</v>
      </c>
      <c r="B106" s="3" t="str">
        <f>TEXT(calendar[[#This Row],[date]], "yymmdd")</f>
        <v>260613</v>
      </c>
      <c r="C106" s="4">
        <f>DATEDIF("1/1/2024", calendar[[#This Row],[date]], "M")</f>
        <v>29</v>
      </c>
      <c r="D106" s="3" t="str">
        <f>TEXT(calendar[[#This Row],[date]], "dd")</f>
        <v>13</v>
      </c>
      <c r="E106" s="1">
        <f>IF(OR(WEEKDAY(calendar[[#This Row],[date]])= 1, WEEKDAY(calendar[[#This Row],[date]])=7), 0, 1)</f>
        <v>0</v>
      </c>
      <c r="F106">
        <f t="shared" si="5"/>
        <v>24</v>
      </c>
      <c r="G106" t="str">
        <f t="shared" si="6"/>
        <v>202606</v>
      </c>
      <c r="H106" s="5">
        <f t="shared" si="7"/>
        <v>21</v>
      </c>
      <c r="I106">
        <f t="shared" si="8"/>
        <v>4.2</v>
      </c>
    </row>
    <row r="107" spans="1:9">
      <c r="A107" s="3">
        <f t="shared" si="9"/>
        <v>46187</v>
      </c>
      <c r="B107" s="3" t="str">
        <f>TEXT(calendar[[#This Row],[date]], "yymmdd")</f>
        <v>260614</v>
      </c>
      <c r="C107" s="4">
        <f>DATEDIF("1/1/2024", calendar[[#This Row],[date]], "M")</f>
        <v>29</v>
      </c>
      <c r="D107" s="3" t="str">
        <f>TEXT(calendar[[#This Row],[date]], "dd")</f>
        <v>14</v>
      </c>
      <c r="E107" s="1">
        <f>IF(OR(WEEKDAY(calendar[[#This Row],[date]])= 1, WEEKDAY(calendar[[#This Row],[date]])=7), 0, 1)</f>
        <v>0</v>
      </c>
      <c r="F107">
        <f t="shared" si="5"/>
        <v>24</v>
      </c>
      <c r="G107" t="str">
        <f t="shared" si="6"/>
        <v>202606</v>
      </c>
      <c r="H107" s="5">
        <f t="shared" si="7"/>
        <v>21</v>
      </c>
      <c r="I107">
        <f t="shared" si="8"/>
        <v>4.2</v>
      </c>
    </row>
    <row r="108" spans="1:9">
      <c r="A108" s="3">
        <f t="shared" si="9"/>
        <v>46188</v>
      </c>
      <c r="B108" s="3" t="str">
        <f>TEXT(calendar[[#This Row],[date]], "yymmdd")</f>
        <v>260615</v>
      </c>
      <c r="C108" s="4">
        <f>DATEDIF("1/1/2024", calendar[[#This Row],[date]], "M")</f>
        <v>29</v>
      </c>
      <c r="D108" s="3" t="str">
        <f>TEXT(calendar[[#This Row],[date]], "dd")</f>
        <v>15</v>
      </c>
      <c r="E108" s="1">
        <f>IF(OR(WEEKDAY(calendar[[#This Row],[date]])= 1, WEEKDAY(calendar[[#This Row],[date]])=7), 0, 1)</f>
        <v>1</v>
      </c>
      <c r="F108">
        <f t="shared" si="5"/>
        <v>25</v>
      </c>
      <c r="G108" t="str">
        <f t="shared" si="6"/>
        <v>202606</v>
      </c>
      <c r="H108" s="5">
        <f t="shared" si="7"/>
        <v>21</v>
      </c>
      <c r="I108">
        <f t="shared" si="8"/>
        <v>4.2</v>
      </c>
    </row>
    <row r="109" spans="1:9">
      <c r="A109" s="3">
        <f t="shared" si="9"/>
        <v>46189</v>
      </c>
      <c r="B109" s="3" t="str">
        <f>TEXT(calendar[[#This Row],[date]], "yymmdd")</f>
        <v>260616</v>
      </c>
      <c r="C109" s="4">
        <f>DATEDIF("1/1/2024", calendar[[#This Row],[date]], "M")</f>
        <v>29</v>
      </c>
      <c r="D109" s="3" t="str">
        <f>TEXT(calendar[[#This Row],[date]], "dd")</f>
        <v>16</v>
      </c>
      <c r="E109" s="1">
        <f>IF(OR(WEEKDAY(calendar[[#This Row],[date]])= 1, WEEKDAY(calendar[[#This Row],[date]])=7), 0, 1)</f>
        <v>1</v>
      </c>
      <c r="F109">
        <f t="shared" si="5"/>
        <v>25</v>
      </c>
      <c r="G109" t="str">
        <f t="shared" si="6"/>
        <v>202606</v>
      </c>
      <c r="H109" s="5">
        <f t="shared" si="7"/>
        <v>21</v>
      </c>
      <c r="I109">
        <f t="shared" si="8"/>
        <v>4.2</v>
      </c>
    </row>
    <row r="110" spans="1:9">
      <c r="A110" s="3">
        <f t="shared" si="9"/>
        <v>46190</v>
      </c>
      <c r="B110" s="3" t="str">
        <f>TEXT(calendar[[#This Row],[date]], "yymmdd")</f>
        <v>260617</v>
      </c>
      <c r="C110" s="4">
        <f>DATEDIF("1/1/2024", calendar[[#This Row],[date]], "M")</f>
        <v>29</v>
      </c>
      <c r="D110" s="3" t="str">
        <f>TEXT(calendar[[#This Row],[date]], "dd")</f>
        <v>17</v>
      </c>
      <c r="E110" s="1">
        <f>IF(OR(WEEKDAY(calendar[[#This Row],[date]])= 1, WEEKDAY(calendar[[#This Row],[date]])=7), 0, 1)</f>
        <v>1</v>
      </c>
      <c r="F110">
        <f t="shared" si="5"/>
        <v>25</v>
      </c>
      <c r="G110" t="str">
        <f t="shared" si="6"/>
        <v>202606</v>
      </c>
      <c r="H110" s="5">
        <f t="shared" si="7"/>
        <v>21</v>
      </c>
      <c r="I110">
        <f t="shared" si="8"/>
        <v>4.2</v>
      </c>
    </row>
    <row r="111" spans="1:9">
      <c r="A111" s="3">
        <f t="shared" si="9"/>
        <v>46191</v>
      </c>
      <c r="B111" s="3" t="str">
        <f>TEXT(calendar[[#This Row],[date]], "yymmdd")</f>
        <v>260618</v>
      </c>
      <c r="C111" s="4">
        <f>DATEDIF("1/1/2024", calendar[[#This Row],[date]], "M")</f>
        <v>29</v>
      </c>
      <c r="D111" s="3" t="str">
        <f>TEXT(calendar[[#This Row],[date]], "dd")</f>
        <v>18</v>
      </c>
      <c r="E111" s="1">
        <f>IF(OR(WEEKDAY(calendar[[#This Row],[date]])= 1, WEEKDAY(calendar[[#This Row],[date]])=7), 0, 1)</f>
        <v>1</v>
      </c>
      <c r="F111">
        <f t="shared" si="5"/>
        <v>25</v>
      </c>
      <c r="G111" t="str">
        <f t="shared" si="6"/>
        <v>202606</v>
      </c>
      <c r="H111" s="5">
        <f t="shared" si="7"/>
        <v>21</v>
      </c>
      <c r="I111">
        <f t="shared" si="8"/>
        <v>4.2</v>
      </c>
    </row>
    <row r="112" spans="1:9">
      <c r="A112" s="3">
        <f t="shared" si="9"/>
        <v>46192</v>
      </c>
      <c r="B112" s="3" t="str">
        <f>TEXT(calendar[[#This Row],[date]], "yymmdd")</f>
        <v>260619</v>
      </c>
      <c r="C112" s="4">
        <f>DATEDIF("1/1/2024", calendar[[#This Row],[date]], "M")</f>
        <v>29</v>
      </c>
      <c r="D112" s="3" t="str">
        <f>TEXT(calendar[[#This Row],[date]], "dd")</f>
        <v>19</v>
      </c>
      <c r="E112" s="1">
        <f>IF(OR(WEEKDAY(calendar[[#This Row],[date]])= 1, WEEKDAY(calendar[[#This Row],[date]])=7), 0, 1)</f>
        <v>1</v>
      </c>
      <c r="F112">
        <f t="shared" si="5"/>
        <v>25</v>
      </c>
      <c r="G112" t="str">
        <f t="shared" si="6"/>
        <v>202606</v>
      </c>
      <c r="H112" s="5">
        <f t="shared" si="7"/>
        <v>21</v>
      </c>
      <c r="I112">
        <f t="shared" si="8"/>
        <v>4.2</v>
      </c>
    </row>
    <row r="113" spans="1:9">
      <c r="A113" s="3">
        <f t="shared" si="9"/>
        <v>46193</v>
      </c>
      <c r="B113" s="3" t="str">
        <f>TEXT(calendar[[#This Row],[date]], "yymmdd")</f>
        <v>260620</v>
      </c>
      <c r="C113" s="4">
        <f>DATEDIF("1/1/2024", calendar[[#This Row],[date]], "M")</f>
        <v>29</v>
      </c>
      <c r="D113" s="3" t="str">
        <f>TEXT(calendar[[#This Row],[date]], "dd")</f>
        <v>20</v>
      </c>
      <c r="E113" s="1">
        <f>IF(OR(WEEKDAY(calendar[[#This Row],[date]])= 1, WEEKDAY(calendar[[#This Row],[date]])=7), 0, 1)</f>
        <v>0</v>
      </c>
      <c r="F113">
        <f t="shared" si="5"/>
        <v>25</v>
      </c>
      <c r="G113" t="str">
        <f t="shared" si="6"/>
        <v>202606</v>
      </c>
      <c r="H113" s="5">
        <f t="shared" si="7"/>
        <v>21</v>
      </c>
      <c r="I113">
        <f t="shared" si="8"/>
        <v>4.2</v>
      </c>
    </row>
    <row r="114" spans="1:9">
      <c r="A114" s="3">
        <f t="shared" si="9"/>
        <v>46194</v>
      </c>
      <c r="B114" s="3" t="str">
        <f>TEXT(calendar[[#This Row],[date]], "yymmdd")</f>
        <v>260621</v>
      </c>
      <c r="C114" s="4">
        <f>DATEDIF("1/1/2024", calendar[[#This Row],[date]], "M")</f>
        <v>29</v>
      </c>
      <c r="D114" s="3" t="str">
        <f>TEXT(calendar[[#This Row],[date]], "dd")</f>
        <v>21</v>
      </c>
      <c r="E114" s="1">
        <f>IF(OR(WEEKDAY(calendar[[#This Row],[date]])= 1, WEEKDAY(calendar[[#This Row],[date]])=7), 0, 1)</f>
        <v>0</v>
      </c>
      <c r="F114">
        <f t="shared" si="5"/>
        <v>25</v>
      </c>
      <c r="G114" t="str">
        <f t="shared" si="6"/>
        <v>202606</v>
      </c>
      <c r="H114" s="5">
        <f t="shared" si="7"/>
        <v>21</v>
      </c>
      <c r="I114">
        <f t="shared" si="8"/>
        <v>4.2</v>
      </c>
    </row>
    <row r="115" spans="1:9">
      <c r="A115" s="3">
        <f t="shared" si="9"/>
        <v>46195</v>
      </c>
      <c r="B115" s="3" t="str">
        <f>TEXT(calendar[[#This Row],[date]], "yymmdd")</f>
        <v>260622</v>
      </c>
      <c r="C115" s="4">
        <f>DATEDIF("1/1/2024", calendar[[#This Row],[date]], "M")</f>
        <v>29</v>
      </c>
      <c r="D115" s="3" t="str">
        <f>TEXT(calendar[[#This Row],[date]], "dd")</f>
        <v>22</v>
      </c>
      <c r="E115" s="1">
        <f>IF(OR(WEEKDAY(calendar[[#This Row],[date]])= 1, WEEKDAY(calendar[[#This Row],[date]])=7), 0, 1)</f>
        <v>1</v>
      </c>
      <c r="F115">
        <f t="shared" si="5"/>
        <v>26</v>
      </c>
      <c r="G115" t="str">
        <f t="shared" si="6"/>
        <v>202606</v>
      </c>
      <c r="H115" s="5">
        <f t="shared" si="7"/>
        <v>21</v>
      </c>
      <c r="I115">
        <f t="shared" si="8"/>
        <v>4.2</v>
      </c>
    </row>
    <row r="116" spans="1:9">
      <c r="A116" s="3">
        <f t="shared" si="9"/>
        <v>46196</v>
      </c>
      <c r="B116" s="3" t="str">
        <f>TEXT(calendar[[#This Row],[date]], "yymmdd")</f>
        <v>260623</v>
      </c>
      <c r="C116" s="4">
        <f>DATEDIF("1/1/2024", calendar[[#This Row],[date]], "M")</f>
        <v>29</v>
      </c>
      <c r="D116" s="3" t="str">
        <f>TEXT(calendar[[#This Row],[date]], "dd")</f>
        <v>23</v>
      </c>
      <c r="E116" s="1">
        <f>IF(OR(WEEKDAY(calendar[[#This Row],[date]])= 1, WEEKDAY(calendar[[#This Row],[date]])=7), 0, 1)</f>
        <v>1</v>
      </c>
      <c r="F116">
        <f t="shared" si="5"/>
        <v>26</v>
      </c>
      <c r="G116" t="str">
        <f t="shared" si="6"/>
        <v>202606</v>
      </c>
      <c r="H116" s="5">
        <f t="shared" si="7"/>
        <v>21</v>
      </c>
      <c r="I116">
        <f t="shared" si="8"/>
        <v>4.2</v>
      </c>
    </row>
    <row r="117" spans="1:9">
      <c r="A117" s="3">
        <f t="shared" si="9"/>
        <v>46197</v>
      </c>
      <c r="B117" s="3" t="str">
        <f>TEXT(calendar[[#This Row],[date]], "yymmdd")</f>
        <v>260624</v>
      </c>
      <c r="C117" s="4">
        <f>DATEDIF("1/1/2024", calendar[[#This Row],[date]], "M")</f>
        <v>29</v>
      </c>
      <c r="D117" s="3" t="str">
        <f>TEXT(calendar[[#This Row],[date]], "dd")</f>
        <v>24</v>
      </c>
      <c r="E117" s="1">
        <f>IF(OR(WEEKDAY(calendar[[#This Row],[date]])= 1, WEEKDAY(calendar[[#This Row],[date]])=7), 0, 1)</f>
        <v>1</v>
      </c>
      <c r="F117">
        <f t="shared" si="5"/>
        <v>26</v>
      </c>
      <c r="G117" t="str">
        <f t="shared" si="6"/>
        <v>202606</v>
      </c>
      <c r="H117" s="5">
        <f t="shared" si="7"/>
        <v>21</v>
      </c>
      <c r="I117">
        <f t="shared" si="8"/>
        <v>4.2</v>
      </c>
    </row>
    <row r="118" spans="1:9">
      <c r="A118" s="3">
        <f t="shared" si="9"/>
        <v>46198</v>
      </c>
      <c r="B118" s="3" t="str">
        <f>TEXT(calendar[[#This Row],[date]], "yymmdd")</f>
        <v>260625</v>
      </c>
      <c r="C118" s="4">
        <f>DATEDIF("1/1/2024", calendar[[#This Row],[date]], "M")</f>
        <v>29</v>
      </c>
      <c r="D118" s="3" t="str">
        <f>TEXT(calendar[[#This Row],[date]], "dd")</f>
        <v>25</v>
      </c>
      <c r="E118" s="1">
        <f>IF(OR(WEEKDAY(calendar[[#This Row],[date]])= 1, WEEKDAY(calendar[[#This Row],[date]])=7), 0, 1)</f>
        <v>1</v>
      </c>
      <c r="F118">
        <f t="shared" si="5"/>
        <v>26</v>
      </c>
      <c r="G118" t="str">
        <f t="shared" si="6"/>
        <v>202606</v>
      </c>
      <c r="H118" s="5">
        <f t="shared" si="7"/>
        <v>21</v>
      </c>
      <c r="I118">
        <f t="shared" si="8"/>
        <v>4.2</v>
      </c>
    </row>
    <row r="119" spans="1:9">
      <c r="A119" s="3">
        <f t="shared" si="9"/>
        <v>46199</v>
      </c>
      <c r="B119" s="3" t="str">
        <f>TEXT(calendar[[#This Row],[date]], "yymmdd")</f>
        <v>260626</v>
      </c>
      <c r="C119" s="4">
        <f>DATEDIF("1/1/2024", calendar[[#This Row],[date]], "M")</f>
        <v>29</v>
      </c>
      <c r="D119" s="3" t="str">
        <f>TEXT(calendar[[#This Row],[date]], "dd")</f>
        <v>26</v>
      </c>
      <c r="E119" s="1">
        <f>IF(OR(WEEKDAY(calendar[[#This Row],[date]])= 1, WEEKDAY(calendar[[#This Row],[date]])=7), 0, 1)</f>
        <v>1</v>
      </c>
      <c r="F119">
        <f t="shared" si="5"/>
        <v>26</v>
      </c>
      <c r="G119" t="str">
        <f t="shared" si="6"/>
        <v>202606</v>
      </c>
      <c r="H119" s="5">
        <f t="shared" si="7"/>
        <v>21</v>
      </c>
      <c r="I119">
        <f t="shared" si="8"/>
        <v>4.2</v>
      </c>
    </row>
    <row r="120" spans="1:9">
      <c r="A120" s="3">
        <f t="shared" si="9"/>
        <v>46200</v>
      </c>
      <c r="B120" s="3" t="str">
        <f>TEXT(calendar[[#This Row],[date]], "yymmdd")</f>
        <v>260627</v>
      </c>
      <c r="C120" s="4">
        <f>DATEDIF("1/1/2024", calendar[[#This Row],[date]], "M")</f>
        <v>29</v>
      </c>
      <c r="D120" s="3" t="str">
        <f>TEXT(calendar[[#This Row],[date]], "dd")</f>
        <v>27</v>
      </c>
      <c r="E120" s="1">
        <f>IF(OR(WEEKDAY(calendar[[#This Row],[date]])= 1, WEEKDAY(calendar[[#This Row],[date]])=7), 0, 1)</f>
        <v>0</v>
      </c>
      <c r="F120">
        <f t="shared" si="5"/>
        <v>26</v>
      </c>
      <c r="G120" t="str">
        <f t="shared" si="6"/>
        <v>202606</v>
      </c>
      <c r="H120" s="5">
        <f t="shared" si="7"/>
        <v>21</v>
      </c>
      <c r="I120">
        <f t="shared" si="8"/>
        <v>4.2</v>
      </c>
    </row>
    <row r="121" spans="1:9">
      <c r="A121" s="3">
        <f t="shared" si="9"/>
        <v>46201</v>
      </c>
      <c r="B121" s="3" t="str">
        <f>TEXT(calendar[[#This Row],[date]], "yymmdd")</f>
        <v>260628</v>
      </c>
      <c r="C121" s="4">
        <f>DATEDIF("1/1/2024", calendar[[#This Row],[date]], "M")</f>
        <v>29</v>
      </c>
      <c r="D121" s="3" t="str">
        <f>TEXT(calendar[[#This Row],[date]], "dd")</f>
        <v>28</v>
      </c>
      <c r="E121" s="1">
        <f>IF(OR(WEEKDAY(calendar[[#This Row],[date]])= 1, WEEKDAY(calendar[[#This Row],[date]])=7), 0, 1)</f>
        <v>0</v>
      </c>
      <c r="F121">
        <f t="shared" si="5"/>
        <v>26</v>
      </c>
      <c r="G121" t="str">
        <f t="shared" si="6"/>
        <v>202606</v>
      </c>
      <c r="H121" s="5">
        <f t="shared" si="7"/>
        <v>21</v>
      </c>
      <c r="I121">
        <f t="shared" si="8"/>
        <v>4.2</v>
      </c>
    </row>
    <row r="122" spans="1:9">
      <c r="A122" s="3">
        <f t="shared" si="9"/>
        <v>46202</v>
      </c>
      <c r="B122" s="3" t="str">
        <f>TEXT(calendar[[#This Row],[date]], "yymmdd")</f>
        <v>260629</v>
      </c>
      <c r="C122" s="4">
        <f>DATEDIF("1/1/2024", calendar[[#This Row],[date]], "M")</f>
        <v>29</v>
      </c>
      <c r="D122" s="3" t="str">
        <f>TEXT(calendar[[#This Row],[date]], "dd")</f>
        <v>29</v>
      </c>
      <c r="E122" s="1">
        <f>IF(OR(WEEKDAY(calendar[[#This Row],[date]])= 1, WEEKDAY(calendar[[#This Row],[date]])=7), 0, 1)</f>
        <v>1</v>
      </c>
      <c r="F122">
        <f t="shared" si="5"/>
        <v>27</v>
      </c>
      <c r="G122" t="str">
        <f t="shared" si="6"/>
        <v>202606</v>
      </c>
      <c r="H122" s="5">
        <f t="shared" si="7"/>
        <v>21</v>
      </c>
      <c r="I122">
        <f t="shared" si="8"/>
        <v>4.2</v>
      </c>
    </row>
    <row r="123" spans="1:9">
      <c r="A123" s="3">
        <f t="shared" si="9"/>
        <v>46203</v>
      </c>
      <c r="B123" s="3" t="str">
        <f>TEXT(calendar[[#This Row],[date]], "yymmdd")</f>
        <v>260630</v>
      </c>
      <c r="C123" s="4">
        <f>DATEDIF("1/1/2024", calendar[[#This Row],[date]], "M")</f>
        <v>29</v>
      </c>
      <c r="D123" s="3" t="str">
        <f>TEXT(calendar[[#This Row],[date]], "dd")</f>
        <v>30</v>
      </c>
      <c r="E123" s="1">
        <f>IF(OR(WEEKDAY(calendar[[#This Row],[date]])= 1, WEEKDAY(calendar[[#This Row],[date]])=7), 0, 1)</f>
        <v>1</v>
      </c>
      <c r="F123">
        <f t="shared" si="5"/>
        <v>27</v>
      </c>
      <c r="G123" t="str">
        <f t="shared" si="6"/>
        <v>202606</v>
      </c>
      <c r="H123" s="5">
        <f t="shared" si="7"/>
        <v>21</v>
      </c>
      <c r="I123">
        <f t="shared" si="8"/>
        <v>4.2</v>
      </c>
    </row>
    <row r="124" spans="1:9">
      <c r="A124" s="3">
        <f t="shared" si="9"/>
        <v>46204</v>
      </c>
      <c r="B124" s="3" t="str">
        <f>TEXT(calendar[[#This Row],[date]], "yymmdd")</f>
        <v>260701</v>
      </c>
      <c r="C124" s="4">
        <f>DATEDIF("1/1/2024", calendar[[#This Row],[date]], "M")</f>
        <v>30</v>
      </c>
      <c r="D124" s="3" t="str">
        <f>TEXT(calendar[[#This Row],[date]], "dd")</f>
        <v>01</v>
      </c>
      <c r="E124" s="1">
        <f>IF(OR(WEEKDAY(calendar[[#This Row],[date]])= 1, WEEKDAY(calendar[[#This Row],[date]])=7), 0, 1)</f>
        <v>1</v>
      </c>
      <c r="F124">
        <f t="shared" si="5"/>
        <v>27</v>
      </c>
      <c r="G124" t="str">
        <f t="shared" si="6"/>
        <v>202607</v>
      </c>
      <c r="H124" s="5">
        <f t="shared" si="7"/>
        <v>22</v>
      </c>
      <c r="I124">
        <f t="shared" si="8"/>
        <v>4.4000000000000004</v>
      </c>
    </row>
    <row r="125" spans="1:9">
      <c r="A125" s="3">
        <f t="shared" si="9"/>
        <v>46205</v>
      </c>
      <c r="B125" s="3" t="str">
        <f>TEXT(calendar[[#This Row],[date]], "yymmdd")</f>
        <v>260702</v>
      </c>
      <c r="C125" s="4">
        <f>DATEDIF("1/1/2024", calendar[[#This Row],[date]], "M")</f>
        <v>30</v>
      </c>
      <c r="D125" s="3" t="str">
        <f>TEXT(calendar[[#This Row],[date]], "dd")</f>
        <v>02</v>
      </c>
      <c r="E125" s="1">
        <f>IF(OR(WEEKDAY(calendar[[#This Row],[date]])= 1, WEEKDAY(calendar[[#This Row],[date]])=7), 0, 1)</f>
        <v>1</v>
      </c>
      <c r="F125">
        <f t="shared" si="5"/>
        <v>27</v>
      </c>
      <c r="G125" t="str">
        <f t="shared" si="6"/>
        <v>202607</v>
      </c>
      <c r="H125" s="5">
        <f t="shared" si="7"/>
        <v>22</v>
      </c>
      <c r="I125">
        <f t="shared" si="8"/>
        <v>4.4000000000000004</v>
      </c>
    </row>
    <row r="126" spans="1:9">
      <c r="A126" s="3">
        <f t="shared" si="9"/>
        <v>46206</v>
      </c>
      <c r="B126" s="3" t="str">
        <f>TEXT(calendar[[#This Row],[date]], "yymmdd")</f>
        <v>260703</v>
      </c>
      <c r="C126" s="4">
        <f>DATEDIF("1/1/2024", calendar[[#This Row],[date]], "M")</f>
        <v>30</v>
      </c>
      <c r="D126" s="3" t="str">
        <f>TEXT(calendar[[#This Row],[date]], "dd")</f>
        <v>03</v>
      </c>
      <c r="E126" s="1">
        <f>IF(OR(WEEKDAY(calendar[[#This Row],[date]])= 1, WEEKDAY(calendar[[#This Row],[date]])=7), 0, 1)</f>
        <v>1</v>
      </c>
      <c r="F126">
        <f t="shared" si="5"/>
        <v>27</v>
      </c>
      <c r="G126" t="str">
        <f t="shared" si="6"/>
        <v>202607</v>
      </c>
      <c r="H126" s="5">
        <f t="shared" si="7"/>
        <v>22</v>
      </c>
      <c r="I126">
        <f t="shared" si="8"/>
        <v>4.4000000000000004</v>
      </c>
    </row>
    <row r="127" spans="1:9">
      <c r="A127" s="3">
        <f t="shared" si="9"/>
        <v>46207</v>
      </c>
      <c r="B127" s="3" t="str">
        <f>TEXT(calendar[[#This Row],[date]], "yymmdd")</f>
        <v>260704</v>
      </c>
      <c r="C127" s="4">
        <f>DATEDIF("1/1/2024", calendar[[#This Row],[date]], "M")</f>
        <v>30</v>
      </c>
      <c r="D127" s="3" t="str">
        <f>TEXT(calendar[[#This Row],[date]], "dd")</f>
        <v>04</v>
      </c>
      <c r="E127" s="1">
        <f>IF(OR(WEEKDAY(calendar[[#This Row],[date]])= 1, WEEKDAY(calendar[[#This Row],[date]])=7), 0, 1)</f>
        <v>0</v>
      </c>
      <c r="F127">
        <f t="shared" si="5"/>
        <v>27</v>
      </c>
      <c r="G127" t="str">
        <f t="shared" si="6"/>
        <v>202607</v>
      </c>
      <c r="H127" s="5">
        <f t="shared" si="7"/>
        <v>22</v>
      </c>
      <c r="I127">
        <f t="shared" si="8"/>
        <v>4.4000000000000004</v>
      </c>
    </row>
    <row r="128" spans="1:9">
      <c r="A128" s="3">
        <f t="shared" si="9"/>
        <v>46208</v>
      </c>
      <c r="B128" s="3" t="str">
        <f>TEXT(calendar[[#This Row],[date]], "yymmdd")</f>
        <v>260705</v>
      </c>
      <c r="C128" s="4">
        <f>DATEDIF("1/1/2024", calendar[[#This Row],[date]], "M")</f>
        <v>30</v>
      </c>
      <c r="D128" s="3" t="str">
        <f>TEXT(calendar[[#This Row],[date]], "dd")</f>
        <v>05</v>
      </c>
      <c r="E128" s="1">
        <f>IF(OR(WEEKDAY(calendar[[#This Row],[date]])= 1, WEEKDAY(calendar[[#This Row],[date]])=7), 0, 1)</f>
        <v>0</v>
      </c>
      <c r="F128">
        <f t="shared" si="5"/>
        <v>27</v>
      </c>
      <c r="G128" t="str">
        <f t="shared" si="6"/>
        <v>202607</v>
      </c>
      <c r="H128" s="5">
        <f t="shared" si="7"/>
        <v>22</v>
      </c>
      <c r="I128">
        <f t="shared" si="8"/>
        <v>4.4000000000000004</v>
      </c>
    </row>
    <row r="129" spans="1:9">
      <c r="A129" s="3">
        <f t="shared" si="9"/>
        <v>46209</v>
      </c>
      <c r="B129" s="3" t="str">
        <f>TEXT(calendar[[#This Row],[date]], "yymmdd")</f>
        <v>260706</v>
      </c>
      <c r="C129" s="4">
        <f>DATEDIF("1/1/2024", calendar[[#This Row],[date]], "M")</f>
        <v>30</v>
      </c>
      <c r="D129" s="3" t="str">
        <f>TEXT(calendar[[#This Row],[date]], "dd")</f>
        <v>06</v>
      </c>
      <c r="E129" s="1">
        <f>IF(OR(WEEKDAY(calendar[[#This Row],[date]])= 1, WEEKDAY(calendar[[#This Row],[date]])=7), 0, 1)</f>
        <v>1</v>
      </c>
      <c r="F129">
        <f t="shared" si="5"/>
        <v>28</v>
      </c>
      <c r="G129" t="str">
        <f t="shared" si="6"/>
        <v>202607</v>
      </c>
      <c r="H129" s="5">
        <f t="shared" si="7"/>
        <v>22</v>
      </c>
      <c r="I129">
        <f t="shared" si="8"/>
        <v>4.4000000000000004</v>
      </c>
    </row>
    <row r="130" spans="1:9">
      <c r="A130" s="3">
        <f t="shared" si="9"/>
        <v>46210</v>
      </c>
      <c r="B130" s="3" t="str">
        <f>TEXT(calendar[[#This Row],[date]], "yymmdd")</f>
        <v>260707</v>
      </c>
      <c r="C130" s="4">
        <f>DATEDIF("1/1/2024", calendar[[#This Row],[date]], "M")</f>
        <v>30</v>
      </c>
      <c r="D130" s="3" t="str">
        <f>TEXT(calendar[[#This Row],[date]], "dd")</f>
        <v>07</v>
      </c>
      <c r="E130" s="1">
        <f>IF(OR(WEEKDAY(calendar[[#This Row],[date]])= 1, WEEKDAY(calendar[[#This Row],[date]])=7), 0, 1)</f>
        <v>1</v>
      </c>
      <c r="F130">
        <f t="shared" ref="F130:F193" si="10">_xlfn.ISOWEEKNUM(A130)</f>
        <v>28</v>
      </c>
      <c r="G130" t="str">
        <f t="shared" ref="G130:G193" si="11">TEXT(A130, "yyyymm")</f>
        <v>202607</v>
      </c>
      <c r="H130" s="5">
        <f t="shared" ref="H130:H193" si="12">NETWORKDAYS(EOMONTH(A130,-1)+1,EOMONTH(A130,0), L$2:L$11)</f>
        <v>22</v>
      </c>
      <c r="I130">
        <f t="shared" si="8"/>
        <v>4.4000000000000004</v>
      </c>
    </row>
    <row r="131" spans="1:9">
      <c r="A131" s="3">
        <f t="shared" si="9"/>
        <v>46211</v>
      </c>
      <c r="B131" s="3" t="str">
        <f>TEXT(calendar[[#This Row],[date]], "yymmdd")</f>
        <v>260708</v>
      </c>
      <c r="C131" s="4">
        <f>DATEDIF("1/1/2024", calendar[[#This Row],[date]], "M")</f>
        <v>30</v>
      </c>
      <c r="D131" s="3" t="str">
        <f>TEXT(calendar[[#This Row],[date]], "dd")</f>
        <v>08</v>
      </c>
      <c r="E131" s="1">
        <f>IF(OR(WEEKDAY(calendar[[#This Row],[date]])= 1, WEEKDAY(calendar[[#This Row],[date]])=7), 0, 1)</f>
        <v>1</v>
      </c>
      <c r="F131">
        <f t="shared" si="10"/>
        <v>28</v>
      </c>
      <c r="G131" t="str">
        <f t="shared" si="11"/>
        <v>202607</v>
      </c>
      <c r="H131" s="5">
        <f t="shared" si="12"/>
        <v>22</v>
      </c>
      <c r="I131">
        <f t="shared" ref="I131:I194" si="13">H131/5</f>
        <v>4.4000000000000004</v>
      </c>
    </row>
    <row r="132" spans="1:9">
      <c r="A132" s="3">
        <f t="shared" ref="A132:A195" si="14">A131+1</f>
        <v>46212</v>
      </c>
      <c r="B132" s="3" t="str">
        <f>TEXT(calendar[[#This Row],[date]], "yymmdd")</f>
        <v>260709</v>
      </c>
      <c r="C132" s="4">
        <f>DATEDIF("1/1/2024", calendar[[#This Row],[date]], "M")</f>
        <v>30</v>
      </c>
      <c r="D132" s="3" t="str">
        <f>TEXT(calendar[[#This Row],[date]], "dd")</f>
        <v>09</v>
      </c>
      <c r="E132" s="1">
        <f>IF(OR(WEEKDAY(calendar[[#This Row],[date]])= 1, WEEKDAY(calendar[[#This Row],[date]])=7), 0, 1)</f>
        <v>1</v>
      </c>
      <c r="F132">
        <f t="shared" si="10"/>
        <v>28</v>
      </c>
      <c r="G132" t="str">
        <f t="shared" si="11"/>
        <v>202607</v>
      </c>
      <c r="H132" s="5">
        <f t="shared" si="12"/>
        <v>22</v>
      </c>
      <c r="I132">
        <f t="shared" si="13"/>
        <v>4.4000000000000004</v>
      </c>
    </row>
    <row r="133" spans="1:9">
      <c r="A133" s="3">
        <f t="shared" si="14"/>
        <v>46213</v>
      </c>
      <c r="B133" s="3" t="str">
        <f>TEXT(calendar[[#This Row],[date]], "yymmdd")</f>
        <v>260710</v>
      </c>
      <c r="C133" s="4">
        <f>DATEDIF("1/1/2024", calendar[[#This Row],[date]], "M")</f>
        <v>30</v>
      </c>
      <c r="D133" s="3" t="str">
        <f>TEXT(calendar[[#This Row],[date]], "dd")</f>
        <v>10</v>
      </c>
      <c r="E133" s="1">
        <f>IF(OR(WEEKDAY(calendar[[#This Row],[date]])= 1, WEEKDAY(calendar[[#This Row],[date]])=7), 0, 1)</f>
        <v>1</v>
      </c>
      <c r="F133">
        <f t="shared" si="10"/>
        <v>28</v>
      </c>
      <c r="G133" t="str">
        <f t="shared" si="11"/>
        <v>202607</v>
      </c>
      <c r="H133" s="5">
        <f t="shared" si="12"/>
        <v>22</v>
      </c>
      <c r="I133">
        <f t="shared" si="13"/>
        <v>4.4000000000000004</v>
      </c>
    </row>
    <row r="134" spans="1:9">
      <c r="A134" s="3">
        <f t="shared" si="14"/>
        <v>46214</v>
      </c>
      <c r="B134" s="3" t="str">
        <f>TEXT(calendar[[#This Row],[date]], "yymmdd")</f>
        <v>260711</v>
      </c>
      <c r="C134" s="4">
        <f>DATEDIF("1/1/2024", calendar[[#This Row],[date]], "M")</f>
        <v>30</v>
      </c>
      <c r="D134" s="3" t="str">
        <f>TEXT(calendar[[#This Row],[date]], "dd")</f>
        <v>11</v>
      </c>
      <c r="E134" s="1">
        <f>IF(OR(WEEKDAY(calendar[[#This Row],[date]])= 1, WEEKDAY(calendar[[#This Row],[date]])=7), 0, 1)</f>
        <v>0</v>
      </c>
      <c r="F134">
        <f t="shared" si="10"/>
        <v>28</v>
      </c>
      <c r="G134" t="str">
        <f t="shared" si="11"/>
        <v>202607</v>
      </c>
      <c r="H134" s="5">
        <f t="shared" si="12"/>
        <v>22</v>
      </c>
      <c r="I134">
        <f t="shared" si="13"/>
        <v>4.4000000000000004</v>
      </c>
    </row>
    <row r="135" spans="1:9">
      <c r="A135" s="3">
        <f t="shared" si="14"/>
        <v>46215</v>
      </c>
      <c r="B135" s="3" t="str">
        <f>TEXT(calendar[[#This Row],[date]], "yymmdd")</f>
        <v>260712</v>
      </c>
      <c r="C135" s="4">
        <f>DATEDIF("1/1/2024", calendar[[#This Row],[date]], "M")</f>
        <v>30</v>
      </c>
      <c r="D135" s="3" t="str">
        <f>TEXT(calendar[[#This Row],[date]], "dd")</f>
        <v>12</v>
      </c>
      <c r="E135" s="1">
        <f>IF(OR(WEEKDAY(calendar[[#This Row],[date]])= 1, WEEKDAY(calendar[[#This Row],[date]])=7), 0, 1)</f>
        <v>0</v>
      </c>
      <c r="F135">
        <f t="shared" si="10"/>
        <v>28</v>
      </c>
      <c r="G135" t="str">
        <f t="shared" si="11"/>
        <v>202607</v>
      </c>
      <c r="H135" s="5">
        <f t="shared" si="12"/>
        <v>22</v>
      </c>
      <c r="I135">
        <f t="shared" si="13"/>
        <v>4.4000000000000004</v>
      </c>
    </row>
    <row r="136" spans="1:9">
      <c r="A136" s="3">
        <f t="shared" si="14"/>
        <v>46216</v>
      </c>
      <c r="B136" s="3" t="str">
        <f>TEXT(calendar[[#This Row],[date]], "yymmdd")</f>
        <v>260713</v>
      </c>
      <c r="C136" s="4">
        <f>DATEDIF("1/1/2024", calendar[[#This Row],[date]], "M")</f>
        <v>30</v>
      </c>
      <c r="D136" s="3" t="str">
        <f>TEXT(calendar[[#This Row],[date]], "dd")</f>
        <v>13</v>
      </c>
      <c r="E136" s="1">
        <f>IF(OR(WEEKDAY(calendar[[#This Row],[date]])= 1, WEEKDAY(calendar[[#This Row],[date]])=7), 0, 1)</f>
        <v>1</v>
      </c>
      <c r="F136">
        <f t="shared" si="10"/>
        <v>29</v>
      </c>
      <c r="G136" t="str">
        <f t="shared" si="11"/>
        <v>202607</v>
      </c>
      <c r="H136" s="5">
        <f t="shared" si="12"/>
        <v>22</v>
      </c>
      <c r="I136">
        <f t="shared" si="13"/>
        <v>4.4000000000000004</v>
      </c>
    </row>
    <row r="137" spans="1:9">
      <c r="A137" s="3">
        <f t="shared" si="14"/>
        <v>46217</v>
      </c>
      <c r="B137" s="3" t="str">
        <f>TEXT(calendar[[#This Row],[date]], "yymmdd")</f>
        <v>260714</v>
      </c>
      <c r="C137" s="4">
        <f>DATEDIF("1/1/2024", calendar[[#This Row],[date]], "M")</f>
        <v>30</v>
      </c>
      <c r="D137" s="3" t="str">
        <f>TEXT(calendar[[#This Row],[date]], "dd")</f>
        <v>14</v>
      </c>
      <c r="E137" s="1">
        <f>IF(OR(WEEKDAY(calendar[[#This Row],[date]])= 1, WEEKDAY(calendar[[#This Row],[date]])=7), 0, 1)</f>
        <v>1</v>
      </c>
      <c r="F137">
        <f t="shared" si="10"/>
        <v>29</v>
      </c>
      <c r="G137" t="str">
        <f t="shared" si="11"/>
        <v>202607</v>
      </c>
      <c r="H137" s="5">
        <f t="shared" si="12"/>
        <v>22</v>
      </c>
      <c r="I137">
        <f t="shared" si="13"/>
        <v>4.4000000000000004</v>
      </c>
    </row>
    <row r="138" spans="1:9">
      <c r="A138" s="3">
        <f t="shared" si="14"/>
        <v>46218</v>
      </c>
      <c r="B138" s="3" t="str">
        <f>TEXT(calendar[[#This Row],[date]], "yymmdd")</f>
        <v>260715</v>
      </c>
      <c r="C138" s="4">
        <f>DATEDIF("1/1/2024", calendar[[#This Row],[date]], "M")</f>
        <v>30</v>
      </c>
      <c r="D138" s="3" t="str">
        <f>TEXT(calendar[[#This Row],[date]], "dd")</f>
        <v>15</v>
      </c>
      <c r="E138" s="1">
        <f>IF(OR(WEEKDAY(calendar[[#This Row],[date]])= 1, WEEKDAY(calendar[[#This Row],[date]])=7), 0, 1)</f>
        <v>1</v>
      </c>
      <c r="F138">
        <f t="shared" si="10"/>
        <v>29</v>
      </c>
      <c r="G138" t="str">
        <f t="shared" si="11"/>
        <v>202607</v>
      </c>
      <c r="H138" s="5">
        <f t="shared" si="12"/>
        <v>22</v>
      </c>
      <c r="I138">
        <f t="shared" si="13"/>
        <v>4.4000000000000004</v>
      </c>
    </row>
    <row r="139" spans="1:9">
      <c r="A139" s="3">
        <f t="shared" si="14"/>
        <v>46219</v>
      </c>
      <c r="B139" s="3" t="str">
        <f>TEXT(calendar[[#This Row],[date]], "yymmdd")</f>
        <v>260716</v>
      </c>
      <c r="C139" s="4">
        <f>DATEDIF("1/1/2024", calendar[[#This Row],[date]], "M")</f>
        <v>30</v>
      </c>
      <c r="D139" s="3" t="str">
        <f>TEXT(calendar[[#This Row],[date]], "dd")</f>
        <v>16</v>
      </c>
      <c r="E139" s="1">
        <f>IF(OR(WEEKDAY(calendar[[#This Row],[date]])= 1, WEEKDAY(calendar[[#This Row],[date]])=7), 0, 1)</f>
        <v>1</v>
      </c>
      <c r="F139">
        <f t="shared" si="10"/>
        <v>29</v>
      </c>
      <c r="G139" t="str">
        <f t="shared" si="11"/>
        <v>202607</v>
      </c>
      <c r="H139" s="5">
        <f t="shared" si="12"/>
        <v>22</v>
      </c>
      <c r="I139">
        <f t="shared" si="13"/>
        <v>4.4000000000000004</v>
      </c>
    </row>
    <row r="140" spans="1:9">
      <c r="A140" s="3">
        <f t="shared" si="14"/>
        <v>46220</v>
      </c>
      <c r="B140" s="3" t="str">
        <f>TEXT(calendar[[#This Row],[date]], "yymmdd")</f>
        <v>260717</v>
      </c>
      <c r="C140" s="4">
        <f>DATEDIF("1/1/2024", calendar[[#This Row],[date]], "M")</f>
        <v>30</v>
      </c>
      <c r="D140" s="3" t="str">
        <f>TEXT(calendar[[#This Row],[date]], "dd")</f>
        <v>17</v>
      </c>
      <c r="E140" s="1">
        <f>IF(OR(WEEKDAY(calendar[[#This Row],[date]])= 1, WEEKDAY(calendar[[#This Row],[date]])=7), 0, 1)</f>
        <v>1</v>
      </c>
      <c r="F140">
        <f t="shared" si="10"/>
        <v>29</v>
      </c>
      <c r="G140" t="str">
        <f t="shared" si="11"/>
        <v>202607</v>
      </c>
      <c r="H140" s="5">
        <f t="shared" si="12"/>
        <v>22</v>
      </c>
      <c r="I140">
        <f t="shared" si="13"/>
        <v>4.4000000000000004</v>
      </c>
    </row>
    <row r="141" spans="1:9">
      <c r="A141" s="3">
        <f t="shared" si="14"/>
        <v>46221</v>
      </c>
      <c r="B141" s="3" t="str">
        <f>TEXT(calendar[[#This Row],[date]], "yymmdd")</f>
        <v>260718</v>
      </c>
      <c r="C141" s="4">
        <f>DATEDIF("1/1/2024", calendar[[#This Row],[date]], "M")</f>
        <v>30</v>
      </c>
      <c r="D141" s="3" t="str">
        <f>TEXT(calendar[[#This Row],[date]], "dd")</f>
        <v>18</v>
      </c>
      <c r="E141" s="1">
        <f>IF(OR(WEEKDAY(calendar[[#This Row],[date]])= 1, WEEKDAY(calendar[[#This Row],[date]])=7), 0, 1)</f>
        <v>0</v>
      </c>
      <c r="F141">
        <f t="shared" si="10"/>
        <v>29</v>
      </c>
      <c r="G141" t="str">
        <f t="shared" si="11"/>
        <v>202607</v>
      </c>
      <c r="H141" s="5">
        <f t="shared" si="12"/>
        <v>22</v>
      </c>
      <c r="I141">
        <f t="shared" si="13"/>
        <v>4.4000000000000004</v>
      </c>
    </row>
    <row r="142" spans="1:9">
      <c r="A142" s="3">
        <f t="shared" si="14"/>
        <v>46222</v>
      </c>
      <c r="B142" s="3" t="str">
        <f>TEXT(calendar[[#This Row],[date]], "yymmdd")</f>
        <v>260719</v>
      </c>
      <c r="C142" s="4">
        <f>DATEDIF("1/1/2024", calendar[[#This Row],[date]], "M")</f>
        <v>30</v>
      </c>
      <c r="D142" s="3" t="str">
        <f>TEXT(calendar[[#This Row],[date]], "dd")</f>
        <v>19</v>
      </c>
      <c r="E142" s="1">
        <f>IF(OR(WEEKDAY(calendar[[#This Row],[date]])= 1, WEEKDAY(calendar[[#This Row],[date]])=7), 0, 1)</f>
        <v>0</v>
      </c>
      <c r="F142">
        <f t="shared" si="10"/>
        <v>29</v>
      </c>
      <c r="G142" t="str">
        <f t="shared" si="11"/>
        <v>202607</v>
      </c>
      <c r="H142" s="5">
        <f t="shared" si="12"/>
        <v>22</v>
      </c>
      <c r="I142">
        <f t="shared" si="13"/>
        <v>4.4000000000000004</v>
      </c>
    </row>
    <row r="143" spans="1:9">
      <c r="A143" s="3">
        <f t="shared" si="14"/>
        <v>46223</v>
      </c>
      <c r="B143" s="3" t="str">
        <f>TEXT(calendar[[#This Row],[date]], "yymmdd")</f>
        <v>260720</v>
      </c>
      <c r="C143" s="4">
        <f>DATEDIF("1/1/2024", calendar[[#This Row],[date]], "M")</f>
        <v>30</v>
      </c>
      <c r="D143" s="3" t="str">
        <f>TEXT(calendar[[#This Row],[date]], "dd")</f>
        <v>20</v>
      </c>
      <c r="E143" s="1">
        <f>IF(OR(WEEKDAY(calendar[[#This Row],[date]])= 1, WEEKDAY(calendar[[#This Row],[date]])=7), 0, 1)</f>
        <v>1</v>
      </c>
      <c r="F143">
        <f t="shared" si="10"/>
        <v>30</v>
      </c>
      <c r="G143" t="str">
        <f t="shared" si="11"/>
        <v>202607</v>
      </c>
      <c r="H143" s="5">
        <f t="shared" si="12"/>
        <v>22</v>
      </c>
      <c r="I143">
        <f t="shared" si="13"/>
        <v>4.4000000000000004</v>
      </c>
    </row>
    <row r="144" spans="1:9">
      <c r="A144" s="3">
        <f t="shared" si="14"/>
        <v>46224</v>
      </c>
      <c r="B144" s="3" t="str">
        <f>TEXT(calendar[[#This Row],[date]], "yymmdd")</f>
        <v>260721</v>
      </c>
      <c r="C144" s="4">
        <f>DATEDIF("1/1/2024", calendar[[#This Row],[date]], "M")</f>
        <v>30</v>
      </c>
      <c r="D144" s="3" t="str">
        <f>TEXT(calendar[[#This Row],[date]], "dd")</f>
        <v>21</v>
      </c>
      <c r="E144" s="1">
        <f>IF(OR(WEEKDAY(calendar[[#This Row],[date]])= 1, WEEKDAY(calendar[[#This Row],[date]])=7), 0, 1)</f>
        <v>1</v>
      </c>
      <c r="F144">
        <f t="shared" si="10"/>
        <v>30</v>
      </c>
      <c r="G144" t="str">
        <f t="shared" si="11"/>
        <v>202607</v>
      </c>
      <c r="H144" s="5">
        <f t="shared" si="12"/>
        <v>22</v>
      </c>
      <c r="I144">
        <f t="shared" si="13"/>
        <v>4.4000000000000004</v>
      </c>
    </row>
    <row r="145" spans="1:9">
      <c r="A145" s="3">
        <f t="shared" si="14"/>
        <v>46225</v>
      </c>
      <c r="B145" s="3" t="str">
        <f>TEXT(calendar[[#This Row],[date]], "yymmdd")</f>
        <v>260722</v>
      </c>
      <c r="C145" s="4">
        <f>DATEDIF("1/1/2024", calendar[[#This Row],[date]], "M")</f>
        <v>30</v>
      </c>
      <c r="D145" s="3" t="str">
        <f>TEXT(calendar[[#This Row],[date]], "dd")</f>
        <v>22</v>
      </c>
      <c r="E145" s="1">
        <f>IF(OR(WEEKDAY(calendar[[#This Row],[date]])= 1, WEEKDAY(calendar[[#This Row],[date]])=7), 0, 1)</f>
        <v>1</v>
      </c>
      <c r="F145">
        <f t="shared" si="10"/>
        <v>30</v>
      </c>
      <c r="G145" t="str">
        <f t="shared" si="11"/>
        <v>202607</v>
      </c>
      <c r="H145" s="5">
        <f t="shared" si="12"/>
        <v>22</v>
      </c>
      <c r="I145">
        <f t="shared" si="13"/>
        <v>4.4000000000000004</v>
      </c>
    </row>
    <row r="146" spans="1:9">
      <c r="A146" s="3">
        <f t="shared" si="14"/>
        <v>46226</v>
      </c>
      <c r="B146" s="3" t="str">
        <f>TEXT(calendar[[#This Row],[date]], "yymmdd")</f>
        <v>260723</v>
      </c>
      <c r="C146" s="4">
        <f>DATEDIF("1/1/2024", calendar[[#This Row],[date]], "M")</f>
        <v>30</v>
      </c>
      <c r="D146" s="3" t="str">
        <f>TEXT(calendar[[#This Row],[date]], "dd")</f>
        <v>23</v>
      </c>
      <c r="E146" s="1">
        <f>IF(OR(WEEKDAY(calendar[[#This Row],[date]])= 1, WEEKDAY(calendar[[#This Row],[date]])=7), 0, 1)</f>
        <v>1</v>
      </c>
      <c r="F146">
        <f t="shared" si="10"/>
        <v>30</v>
      </c>
      <c r="G146" t="str">
        <f t="shared" si="11"/>
        <v>202607</v>
      </c>
      <c r="H146" s="5">
        <f t="shared" si="12"/>
        <v>22</v>
      </c>
      <c r="I146">
        <f t="shared" si="13"/>
        <v>4.4000000000000004</v>
      </c>
    </row>
    <row r="147" spans="1:9">
      <c r="A147" s="3">
        <f t="shared" si="14"/>
        <v>46227</v>
      </c>
      <c r="B147" s="3" t="str">
        <f>TEXT(calendar[[#This Row],[date]], "yymmdd")</f>
        <v>260724</v>
      </c>
      <c r="C147" s="4">
        <f>DATEDIF("1/1/2024", calendar[[#This Row],[date]], "M")</f>
        <v>30</v>
      </c>
      <c r="D147" s="3" t="str">
        <f>TEXT(calendar[[#This Row],[date]], "dd")</f>
        <v>24</v>
      </c>
      <c r="E147" s="1">
        <f>IF(OR(WEEKDAY(calendar[[#This Row],[date]])= 1, WEEKDAY(calendar[[#This Row],[date]])=7), 0, 1)</f>
        <v>1</v>
      </c>
      <c r="F147">
        <f t="shared" si="10"/>
        <v>30</v>
      </c>
      <c r="G147" t="str">
        <f t="shared" si="11"/>
        <v>202607</v>
      </c>
      <c r="H147" s="5">
        <f t="shared" si="12"/>
        <v>22</v>
      </c>
      <c r="I147">
        <f t="shared" si="13"/>
        <v>4.4000000000000004</v>
      </c>
    </row>
    <row r="148" spans="1:9">
      <c r="A148" s="3">
        <f t="shared" si="14"/>
        <v>46228</v>
      </c>
      <c r="B148" s="3" t="str">
        <f>TEXT(calendar[[#This Row],[date]], "yymmdd")</f>
        <v>260725</v>
      </c>
      <c r="C148" s="4">
        <f>DATEDIF("1/1/2024", calendar[[#This Row],[date]], "M")</f>
        <v>30</v>
      </c>
      <c r="D148" s="3" t="str">
        <f>TEXT(calendar[[#This Row],[date]], "dd")</f>
        <v>25</v>
      </c>
      <c r="E148" s="1">
        <f>IF(OR(WEEKDAY(calendar[[#This Row],[date]])= 1, WEEKDAY(calendar[[#This Row],[date]])=7), 0, 1)</f>
        <v>0</v>
      </c>
      <c r="F148">
        <f t="shared" si="10"/>
        <v>30</v>
      </c>
      <c r="G148" t="str">
        <f t="shared" si="11"/>
        <v>202607</v>
      </c>
      <c r="H148" s="5">
        <f t="shared" si="12"/>
        <v>22</v>
      </c>
      <c r="I148">
        <f t="shared" si="13"/>
        <v>4.4000000000000004</v>
      </c>
    </row>
    <row r="149" spans="1:9">
      <c r="A149" s="3">
        <f t="shared" si="14"/>
        <v>46229</v>
      </c>
      <c r="B149" s="3" t="str">
        <f>TEXT(calendar[[#This Row],[date]], "yymmdd")</f>
        <v>260726</v>
      </c>
      <c r="C149" s="4">
        <f>DATEDIF("1/1/2024", calendar[[#This Row],[date]], "M")</f>
        <v>30</v>
      </c>
      <c r="D149" s="3" t="str">
        <f>TEXT(calendar[[#This Row],[date]], "dd")</f>
        <v>26</v>
      </c>
      <c r="E149" s="1">
        <f>IF(OR(WEEKDAY(calendar[[#This Row],[date]])= 1, WEEKDAY(calendar[[#This Row],[date]])=7), 0, 1)</f>
        <v>0</v>
      </c>
      <c r="F149">
        <f t="shared" si="10"/>
        <v>30</v>
      </c>
      <c r="G149" t="str">
        <f t="shared" si="11"/>
        <v>202607</v>
      </c>
      <c r="H149" s="5">
        <f t="shared" si="12"/>
        <v>22</v>
      </c>
      <c r="I149">
        <f t="shared" si="13"/>
        <v>4.4000000000000004</v>
      </c>
    </row>
    <row r="150" spans="1:9">
      <c r="A150" s="3">
        <f t="shared" si="14"/>
        <v>46230</v>
      </c>
      <c r="B150" s="3" t="str">
        <f>TEXT(calendar[[#This Row],[date]], "yymmdd")</f>
        <v>260727</v>
      </c>
      <c r="C150" s="4">
        <f>DATEDIF("1/1/2024", calendar[[#This Row],[date]], "M")</f>
        <v>30</v>
      </c>
      <c r="D150" s="3" t="str">
        <f>TEXT(calendar[[#This Row],[date]], "dd")</f>
        <v>27</v>
      </c>
      <c r="E150" s="1">
        <f>IF(OR(WEEKDAY(calendar[[#This Row],[date]])= 1, WEEKDAY(calendar[[#This Row],[date]])=7), 0, 1)</f>
        <v>1</v>
      </c>
      <c r="F150">
        <f t="shared" si="10"/>
        <v>31</v>
      </c>
      <c r="G150" t="str">
        <f t="shared" si="11"/>
        <v>202607</v>
      </c>
      <c r="H150" s="5">
        <f t="shared" si="12"/>
        <v>22</v>
      </c>
      <c r="I150">
        <f t="shared" si="13"/>
        <v>4.4000000000000004</v>
      </c>
    </row>
    <row r="151" spans="1:9">
      <c r="A151" s="3">
        <f t="shared" si="14"/>
        <v>46231</v>
      </c>
      <c r="B151" s="3" t="str">
        <f>TEXT(calendar[[#This Row],[date]], "yymmdd")</f>
        <v>260728</v>
      </c>
      <c r="C151" s="4">
        <f>DATEDIF("1/1/2024", calendar[[#This Row],[date]], "M")</f>
        <v>30</v>
      </c>
      <c r="D151" s="3" t="str">
        <f>TEXT(calendar[[#This Row],[date]], "dd")</f>
        <v>28</v>
      </c>
      <c r="E151" s="1">
        <f>IF(OR(WEEKDAY(calendar[[#This Row],[date]])= 1, WEEKDAY(calendar[[#This Row],[date]])=7), 0, 1)</f>
        <v>1</v>
      </c>
      <c r="F151">
        <f t="shared" si="10"/>
        <v>31</v>
      </c>
      <c r="G151" t="str">
        <f t="shared" si="11"/>
        <v>202607</v>
      </c>
      <c r="H151" s="5">
        <f t="shared" si="12"/>
        <v>22</v>
      </c>
      <c r="I151">
        <f t="shared" si="13"/>
        <v>4.4000000000000004</v>
      </c>
    </row>
    <row r="152" spans="1:9">
      <c r="A152" s="3">
        <f t="shared" si="14"/>
        <v>46232</v>
      </c>
      <c r="B152" s="3" t="str">
        <f>TEXT(calendar[[#This Row],[date]], "yymmdd")</f>
        <v>260729</v>
      </c>
      <c r="C152" s="4">
        <f>DATEDIF("1/1/2024", calendar[[#This Row],[date]], "M")</f>
        <v>30</v>
      </c>
      <c r="D152" s="3" t="str">
        <f>TEXT(calendar[[#This Row],[date]], "dd")</f>
        <v>29</v>
      </c>
      <c r="E152" s="1">
        <f>IF(OR(WEEKDAY(calendar[[#This Row],[date]])= 1, WEEKDAY(calendar[[#This Row],[date]])=7), 0, 1)</f>
        <v>1</v>
      </c>
      <c r="F152">
        <f t="shared" si="10"/>
        <v>31</v>
      </c>
      <c r="G152" t="str">
        <f t="shared" si="11"/>
        <v>202607</v>
      </c>
      <c r="H152" s="5">
        <f t="shared" si="12"/>
        <v>22</v>
      </c>
      <c r="I152">
        <f t="shared" si="13"/>
        <v>4.4000000000000004</v>
      </c>
    </row>
    <row r="153" spans="1:9">
      <c r="A153" s="3">
        <f t="shared" si="14"/>
        <v>46233</v>
      </c>
      <c r="B153" s="3" t="str">
        <f>TEXT(calendar[[#This Row],[date]], "yymmdd")</f>
        <v>260730</v>
      </c>
      <c r="C153" s="4">
        <f>DATEDIF("1/1/2024", calendar[[#This Row],[date]], "M")</f>
        <v>30</v>
      </c>
      <c r="D153" s="3" t="str">
        <f>TEXT(calendar[[#This Row],[date]], "dd")</f>
        <v>30</v>
      </c>
      <c r="E153" s="1">
        <f>IF(OR(WEEKDAY(calendar[[#This Row],[date]])= 1, WEEKDAY(calendar[[#This Row],[date]])=7), 0, 1)</f>
        <v>1</v>
      </c>
      <c r="F153">
        <f t="shared" si="10"/>
        <v>31</v>
      </c>
      <c r="G153" t="str">
        <f t="shared" si="11"/>
        <v>202607</v>
      </c>
      <c r="H153" s="5">
        <f t="shared" si="12"/>
        <v>22</v>
      </c>
      <c r="I153">
        <f t="shared" si="13"/>
        <v>4.4000000000000004</v>
      </c>
    </row>
    <row r="154" spans="1:9">
      <c r="A154" s="3">
        <f t="shared" si="14"/>
        <v>46234</v>
      </c>
      <c r="B154" s="3" t="str">
        <f>TEXT(calendar[[#This Row],[date]], "yymmdd")</f>
        <v>260731</v>
      </c>
      <c r="C154" s="4">
        <f>DATEDIF("1/1/2024", calendar[[#This Row],[date]], "M")</f>
        <v>30</v>
      </c>
      <c r="D154" s="3" t="str">
        <f>TEXT(calendar[[#This Row],[date]], "dd")</f>
        <v>31</v>
      </c>
      <c r="E154" s="1">
        <f>IF(OR(WEEKDAY(calendar[[#This Row],[date]])= 1, WEEKDAY(calendar[[#This Row],[date]])=7), 0, 1)</f>
        <v>1</v>
      </c>
      <c r="F154">
        <f t="shared" si="10"/>
        <v>31</v>
      </c>
      <c r="G154" t="str">
        <f t="shared" si="11"/>
        <v>202607</v>
      </c>
      <c r="H154" s="5">
        <f t="shared" si="12"/>
        <v>22</v>
      </c>
      <c r="I154">
        <f t="shared" si="13"/>
        <v>4.4000000000000004</v>
      </c>
    </row>
    <row r="155" spans="1:9">
      <c r="A155" s="3">
        <f t="shared" si="14"/>
        <v>46235</v>
      </c>
      <c r="B155" s="3" t="str">
        <f>TEXT(calendar[[#This Row],[date]], "yymmdd")</f>
        <v>260801</v>
      </c>
      <c r="C155" s="4">
        <f>DATEDIF("1/1/2024", calendar[[#This Row],[date]], "M")</f>
        <v>31</v>
      </c>
      <c r="D155" s="3" t="str">
        <f>TEXT(calendar[[#This Row],[date]], "dd")</f>
        <v>01</v>
      </c>
      <c r="E155" s="1">
        <f>IF(OR(WEEKDAY(calendar[[#This Row],[date]])= 1, WEEKDAY(calendar[[#This Row],[date]])=7), 0, 1)</f>
        <v>0</v>
      </c>
      <c r="F155">
        <f t="shared" si="10"/>
        <v>31</v>
      </c>
      <c r="G155" t="str">
        <f t="shared" si="11"/>
        <v>202608</v>
      </c>
      <c r="H155" s="5">
        <f t="shared" si="12"/>
        <v>21</v>
      </c>
      <c r="I155">
        <f t="shared" si="13"/>
        <v>4.2</v>
      </c>
    </row>
    <row r="156" spans="1:9">
      <c r="A156" s="3">
        <f t="shared" si="14"/>
        <v>46236</v>
      </c>
      <c r="B156" s="3" t="str">
        <f>TEXT(calendar[[#This Row],[date]], "yymmdd")</f>
        <v>260802</v>
      </c>
      <c r="C156" s="4">
        <f>DATEDIF("1/1/2024", calendar[[#This Row],[date]], "M")</f>
        <v>31</v>
      </c>
      <c r="D156" s="3" t="str">
        <f>TEXT(calendar[[#This Row],[date]], "dd")</f>
        <v>02</v>
      </c>
      <c r="E156" s="1">
        <f>IF(OR(WEEKDAY(calendar[[#This Row],[date]])= 1, WEEKDAY(calendar[[#This Row],[date]])=7), 0, 1)</f>
        <v>0</v>
      </c>
      <c r="F156">
        <f t="shared" si="10"/>
        <v>31</v>
      </c>
      <c r="G156" t="str">
        <f t="shared" si="11"/>
        <v>202608</v>
      </c>
      <c r="H156" s="5">
        <f t="shared" si="12"/>
        <v>21</v>
      </c>
      <c r="I156">
        <f t="shared" si="13"/>
        <v>4.2</v>
      </c>
    </row>
    <row r="157" spans="1:9">
      <c r="A157" s="3">
        <f t="shared" si="14"/>
        <v>46237</v>
      </c>
      <c r="B157" s="3" t="str">
        <f>TEXT(calendar[[#This Row],[date]], "yymmdd")</f>
        <v>260803</v>
      </c>
      <c r="C157" s="4">
        <f>DATEDIF("1/1/2024", calendar[[#This Row],[date]], "M")</f>
        <v>31</v>
      </c>
      <c r="D157" s="3" t="str">
        <f>TEXT(calendar[[#This Row],[date]], "dd")</f>
        <v>03</v>
      </c>
      <c r="E157" s="1">
        <f>IF(OR(WEEKDAY(calendar[[#This Row],[date]])= 1, WEEKDAY(calendar[[#This Row],[date]])=7), 0, 1)</f>
        <v>1</v>
      </c>
      <c r="F157">
        <f t="shared" si="10"/>
        <v>32</v>
      </c>
      <c r="G157" t="str">
        <f t="shared" si="11"/>
        <v>202608</v>
      </c>
      <c r="H157" s="5">
        <f t="shared" si="12"/>
        <v>21</v>
      </c>
      <c r="I157">
        <f t="shared" si="13"/>
        <v>4.2</v>
      </c>
    </row>
    <row r="158" spans="1:9">
      <c r="A158" s="3">
        <f t="shared" si="14"/>
        <v>46238</v>
      </c>
      <c r="B158" s="3" t="str">
        <f>TEXT(calendar[[#This Row],[date]], "yymmdd")</f>
        <v>260804</v>
      </c>
      <c r="C158" s="4">
        <f>DATEDIF("1/1/2024", calendar[[#This Row],[date]], "M")</f>
        <v>31</v>
      </c>
      <c r="D158" s="3" t="str">
        <f>TEXT(calendar[[#This Row],[date]], "dd")</f>
        <v>04</v>
      </c>
      <c r="E158" s="1">
        <f>IF(OR(WEEKDAY(calendar[[#This Row],[date]])= 1, WEEKDAY(calendar[[#This Row],[date]])=7), 0, 1)</f>
        <v>1</v>
      </c>
      <c r="F158">
        <f t="shared" si="10"/>
        <v>32</v>
      </c>
      <c r="G158" t="str">
        <f t="shared" si="11"/>
        <v>202608</v>
      </c>
      <c r="H158" s="5">
        <f t="shared" si="12"/>
        <v>21</v>
      </c>
      <c r="I158">
        <f t="shared" si="13"/>
        <v>4.2</v>
      </c>
    </row>
    <row r="159" spans="1:9">
      <c r="A159" s="3">
        <f t="shared" si="14"/>
        <v>46239</v>
      </c>
      <c r="B159" s="3" t="str">
        <f>TEXT(calendar[[#This Row],[date]], "yymmdd")</f>
        <v>260805</v>
      </c>
      <c r="C159" s="4">
        <f>DATEDIF("1/1/2024", calendar[[#This Row],[date]], "M")</f>
        <v>31</v>
      </c>
      <c r="D159" s="3" t="str">
        <f>TEXT(calendar[[#This Row],[date]], "dd")</f>
        <v>05</v>
      </c>
      <c r="E159" s="1">
        <f>IF(OR(WEEKDAY(calendar[[#This Row],[date]])= 1, WEEKDAY(calendar[[#This Row],[date]])=7), 0, 1)</f>
        <v>1</v>
      </c>
      <c r="F159">
        <f t="shared" si="10"/>
        <v>32</v>
      </c>
      <c r="G159" t="str">
        <f t="shared" si="11"/>
        <v>202608</v>
      </c>
      <c r="H159" s="5">
        <f t="shared" si="12"/>
        <v>21</v>
      </c>
      <c r="I159">
        <f t="shared" si="13"/>
        <v>4.2</v>
      </c>
    </row>
    <row r="160" spans="1:9">
      <c r="A160" s="3">
        <f t="shared" si="14"/>
        <v>46240</v>
      </c>
      <c r="B160" s="3" t="str">
        <f>TEXT(calendar[[#This Row],[date]], "yymmdd")</f>
        <v>260806</v>
      </c>
      <c r="C160" s="4">
        <f>DATEDIF("1/1/2024", calendar[[#This Row],[date]], "M")</f>
        <v>31</v>
      </c>
      <c r="D160" s="3" t="str">
        <f>TEXT(calendar[[#This Row],[date]], "dd")</f>
        <v>06</v>
      </c>
      <c r="E160" s="1">
        <f>IF(OR(WEEKDAY(calendar[[#This Row],[date]])= 1, WEEKDAY(calendar[[#This Row],[date]])=7), 0, 1)</f>
        <v>1</v>
      </c>
      <c r="F160">
        <f t="shared" si="10"/>
        <v>32</v>
      </c>
      <c r="G160" t="str">
        <f t="shared" si="11"/>
        <v>202608</v>
      </c>
      <c r="H160" s="5">
        <f t="shared" si="12"/>
        <v>21</v>
      </c>
      <c r="I160">
        <f t="shared" si="13"/>
        <v>4.2</v>
      </c>
    </row>
    <row r="161" spans="1:9">
      <c r="A161" s="3">
        <f t="shared" si="14"/>
        <v>46241</v>
      </c>
      <c r="B161" s="3" t="str">
        <f>TEXT(calendar[[#This Row],[date]], "yymmdd")</f>
        <v>260807</v>
      </c>
      <c r="C161" s="4">
        <f>DATEDIF("1/1/2024", calendar[[#This Row],[date]], "M")</f>
        <v>31</v>
      </c>
      <c r="D161" s="3" t="str">
        <f>TEXT(calendar[[#This Row],[date]], "dd")</f>
        <v>07</v>
      </c>
      <c r="E161" s="1">
        <f>IF(OR(WEEKDAY(calendar[[#This Row],[date]])= 1, WEEKDAY(calendar[[#This Row],[date]])=7), 0, 1)</f>
        <v>1</v>
      </c>
      <c r="F161">
        <f t="shared" si="10"/>
        <v>32</v>
      </c>
      <c r="G161" t="str">
        <f t="shared" si="11"/>
        <v>202608</v>
      </c>
      <c r="H161" s="5">
        <f t="shared" si="12"/>
        <v>21</v>
      </c>
      <c r="I161">
        <f t="shared" si="13"/>
        <v>4.2</v>
      </c>
    </row>
    <row r="162" spans="1:9">
      <c r="A162" s="3">
        <f t="shared" si="14"/>
        <v>46242</v>
      </c>
      <c r="B162" s="3" t="str">
        <f>TEXT(calendar[[#This Row],[date]], "yymmdd")</f>
        <v>260808</v>
      </c>
      <c r="C162" s="4">
        <f>DATEDIF("1/1/2024", calendar[[#This Row],[date]], "M")</f>
        <v>31</v>
      </c>
      <c r="D162" s="3" t="str">
        <f>TEXT(calendar[[#This Row],[date]], "dd")</f>
        <v>08</v>
      </c>
      <c r="E162" s="1">
        <f>IF(OR(WEEKDAY(calendar[[#This Row],[date]])= 1, WEEKDAY(calendar[[#This Row],[date]])=7), 0, 1)</f>
        <v>0</v>
      </c>
      <c r="F162">
        <f t="shared" si="10"/>
        <v>32</v>
      </c>
      <c r="G162" t="str">
        <f t="shared" si="11"/>
        <v>202608</v>
      </c>
      <c r="H162" s="5">
        <f t="shared" si="12"/>
        <v>21</v>
      </c>
      <c r="I162">
        <f t="shared" si="13"/>
        <v>4.2</v>
      </c>
    </row>
    <row r="163" spans="1:9">
      <c r="A163" s="3">
        <f t="shared" si="14"/>
        <v>46243</v>
      </c>
      <c r="B163" s="3" t="str">
        <f>TEXT(calendar[[#This Row],[date]], "yymmdd")</f>
        <v>260809</v>
      </c>
      <c r="C163" s="4">
        <f>DATEDIF("1/1/2024", calendar[[#This Row],[date]], "M")</f>
        <v>31</v>
      </c>
      <c r="D163" s="3" t="str">
        <f>TEXT(calendar[[#This Row],[date]], "dd")</f>
        <v>09</v>
      </c>
      <c r="E163" s="1">
        <f>IF(OR(WEEKDAY(calendar[[#This Row],[date]])= 1, WEEKDAY(calendar[[#This Row],[date]])=7), 0, 1)</f>
        <v>0</v>
      </c>
      <c r="F163">
        <f t="shared" si="10"/>
        <v>32</v>
      </c>
      <c r="G163" t="str">
        <f t="shared" si="11"/>
        <v>202608</v>
      </c>
      <c r="H163" s="5">
        <f t="shared" si="12"/>
        <v>21</v>
      </c>
      <c r="I163">
        <f t="shared" si="13"/>
        <v>4.2</v>
      </c>
    </row>
    <row r="164" spans="1:9">
      <c r="A164" s="3">
        <f t="shared" si="14"/>
        <v>46244</v>
      </c>
      <c r="B164" s="3" t="str">
        <f>TEXT(calendar[[#This Row],[date]], "yymmdd")</f>
        <v>260810</v>
      </c>
      <c r="C164" s="4">
        <f>DATEDIF("1/1/2024", calendar[[#This Row],[date]], "M")</f>
        <v>31</v>
      </c>
      <c r="D164" s="3" t="str">
        <f>TEXT(calendar[[#This Row],[date]], "dd")</f>
        <v>10</v>
      </c>
      <c r="E164" s="1">
        <f>IF(OR(WEEKDAY(calendar[[#This Row],[date]])= 1, WEEKDAY(calendar[[#This Row],[date]])=7), 0, 1)</f>
        <v>1</v>
      </c>
      <c r="F164">
        <f t="shared" si="10"/>
        <v>33</v>
      </c>
      <c r="G164" t="str">
        <f t="shared" si="11"/>
        <v>202608</v>
      </c>
      <c r="H164" s="5">
        <f t="shared" si="12"/>
        <v>21</v>
      </c>
      <c r="I164">
        <f t="shared" si="13"/>
        <v>4.2</v>
      </c>
    </row>
    <row r="165" spans="1:9">
      <c r="A165" s="3">
        <f t="shared" si="14"/>
        <v>46245</v>
      </c>
      <c r="B165" s="3" t="str">
        <f>TEXT(calendar[[#This Row],[date]], "yymmdd")</f>
        <v>260811</v>
      </c>
      <c r="C165" s="4">
        <f>DATEDIF("1/1/2024", calendar[[#This Row],[date]], "M")</f>
        <v>31</v>
      </c>
      <c r="D165" s="3" t="str">
        <f>TEXT(calendar[[#This Row],[date]], "dd")</f>
        <v>11</v>
      </c>
      <c r="E165" s="1">
        <f>IF(OR(WEEKDAY(calendar[[#This Row],[date]])= 1, WEEKDAY(calendar[[#This Row],[date]])=7), 0, 1)</f>
        <v>1</v>
      </c>
      <c r="F165">
        <f t="shared" si="10"/>
        <v>33</v>
      </c>
      <c r="G165" t="str">
        <f t="shared" si="11"/>
        <v>202608</v>
      </c>
      <c r="H165" s="5">
        <f t="shared" si="12"/>
        <v>21</v>
      </c>
      <c r="I165">
        <f t="shared" si="13"/>
        <v>4.2</v>
      </c>
    </row>
    <row r="166" spans="1:9">
      <c r="A166" s="3">
        <f t="shared" si="14"/>
        <v>46246</v>
      </c>
      <c r="B166" s="3" t="str">
        <f>TEXT(calendar[[#This Row],[date]], "yymmdd")</f>
        <v>260812</v>
      </c>
      <c r="C166" s="4">
        <f>DATEDIF("1/1/2024", calendar[[#This Row],[date]], "M")</f>
        <v>31</v>
      </c>
      <c r="D166" s="3" t="str">
        <f>TEXT(calendar[[#This Row],[date]], "dd")</f>
        <v>12</v>
      </c>
      <c r="E166" s="1">
        <f>IF(OR(WEEKDAY(calendar[[#This Row],[date]])= 1, WEEKDAY(calendar[[#This Row],[date]])=7), 0, 1)</f>
        <v>1</v>
      </c>
      <c r="F166">
        <f t="shared" si="10"/>
        <v>33</v>
      </c>
      <c r="G166" t="str">
        <f t="shared" si="11"/>
        <v>202608</v>
      </c>
      <c r="H166" s="5">
        <f t="shared" si="12"/>
        <v>21</v>
      </c>
      <c r="I166">
        <f t="shared" si="13"/>
        <v>4.2</v>
      </c>
    </row>
    <row r="167" spans="1:9">
      <c r="A167" s="3">
        <f t="shared" si="14"/>
        <v>46247</v>
      </c>
      <c r="B167" s="3" t="str">
        <f>TEXT(calendar[[#This Row],[date]], "yymmdd")</f>
        <v>260813</v>
      </c>
      <c r="C167" s="4">
        <f>DATEDIF("1/1/2024", calendar[[#This Row],[date]], "M")</f>
        <v>31</v>
      </c>
      <c r="D167" s="3" t="str">
        <f>TEXT(calendar[[#This Row],[date]], "dd")</f>
        <v>13</v>
      </c>
      <c r="E167" s="1">
        <f>IF(OR(WEEKDAY(calendar[[#This Row],[date]])= 1, WEEKDAY(calendar[[#This Row],[date]])=7), 0, 1)</f>
        <v>1</v>
      </c>
      <c r="F167">
        <f t="shared" si="10"/>
        <v>33</v>
      </c>
      <c r="G167" t="str">
        <f t="shared" si="11"/>
        <v>202608</v>
      </c>
      <c r="H167" s="5">
        <f t="shared" si="12"/>
        <v>21</v>
      </c>
      <c r="I167">
        <f t="shared" si="13"/>
        <v>4.2</v>
      </c>
    </row>
    <row r="168" spans="1:9">
      <c r="A168" s="3">
        <f t="shared" si="14"/>
        <v>46248</v>
      </c>
      <c r="B168" s="3" t="str">
        <f>TEXT(calendar[[#This Row],[date]], "yymmdd")</f>
        <v>260814</v>
      </c>
      <c r="C168" s="4">
        <f>DATEDIF("1/1/2024", calendar[[#This Row],[date]], "M")</f>
        <v>31</v>
      </c>
      <c r="D168" s="3" t="str">
        <f>TEXT(calendar[[#This Row],[date]], "dd")</f>
        <v>14</v>
      </c>
      <c r="E168" s="1">
        <f>IF(OR(WEEKDAY(calendar[[#This Row],[date]])= 1, WEEKDAY(calendar[[#This Row],[date]])=7), 0, 1)</f>
        <v>1</v>
      </c>
      <c r="F168">
        <f t="shared" si="10"/>
        <v>33</v>
      </c>
      <c r="G168" t="str">
        <f t="shared" si="11"/>
        <v>202608</v>
      </c>
      <c r="H168" s="5">
        <f t="shared" si="12"/>
        <v>21</v>
      </c>
      <c r="I168">
        <f t="shared" si="13"/>
        <v>4.2</v>
      </c>
    </row>
    <row r="169" spans="1:9">
      <c r="A169" s="3">
        <f t="shared" si="14"/>
        <v>46249</v>
      </c>
      <c r="B169" s="3" t="str">
        <f>TEXT(calendar[[#This Row],[date]], "yymmdd")</f>
        <v>260815</v>
      </c>
      <c r="C169" s="4">
        <f>DATEDIF("1/1/2024", calendar[[#This Row],[date]], "M")</f>
        <v>31</v>
      </c>
      <c r="D169" s="3" t="str">
        <f>TEXT(calendar[[#This Row],[date]], "dd")</f>
        <v>15</v>
      </c>
      <c r="E169" s="1">
        <f>IF(OR(WEEKDAY(calendar[[#This Row],[date]])= 1, WEEKDAY(calendar[[#This Row],[date]])=7), 0, 1)</f>
        <v>0</v>
      </c>
      <c r="F169">
        <f t="shared" si="10"/>
        <v>33</v>
      </c>
      <c r="G169" t="str">
        <f t="shared" si="11"/>
        <v>202608</v>
      </c>
      <c r="H169" s="5">
        <f t="shared" si="12"/>
        <v>21</v>
      </c>
      <c r="I169">
        <f t="shared" si="13"/>
        <v>4.2</v>
      </c>
    </row>
    <row r="170" spans="1:9">
      <c r="A170" s="3">
        <f t="shared" si="14"/>
        <v>46250</v>
      </c>
      <c r="B170" s="3" t="str">
        <f>TEXT(calendar[[#This Row],[date]], "yymmdd")</f>
        <v>260816</v>
      </c>
      <c r="C170" s="4">
        <f>DATEDIF("1/1/2024", calendar[[#This Row],[date]], "M")</f>
        <v>31</v>
      </c>
      <c r="D170" s="3" t="str">
        <f>TEXT(calendar[[#This Row],[date]], "dd")</f>
        <v>16</v>
      </c>
      <c r="E170" s="1">
        <f>IF(OR(WEEKDAY(calendar[[#This Row],[date]])= 1, WEEKDAY(calendar[[#This Row],[date]])=7), 0, 1)</f>
        <v>0</v>
      </c>
      <c r="F170">
        <f t="shared" si="10"/>
        <v>33</v>
      </c>
      <c r="G170" t="str">
        <f t="shared" si="11"/>
        <v>202608</v>
      </c>
      <c r="H170" s="5">
        <f t="shared" si="12"/>
        <v>21</v>
      </c>
      <c r="I170">
        <f t="shared" si="13"/>
        <v>4.2</v>
      </c>
    </row>
    <row r="171" spans="1:9">
      <c r="A171" s="3">
        <f t="shared" si="14"/>
        <v>46251</v>
      </c>
      <c r="B171" s="3" t="str">
        <f>TEXT(calendar[[#This Row],[date]], "yymmdd")</f>
        <v>260817</v>
      </c>
      <c r="C171" s="4">
        <f>DATEDIF("1/1/2024", calendar[[#This Row],[date]], "M")</f>
        <v>31</v>
      </c>
      <c r="D171" s="3" t="str">
        <f>TEXT(calendar[[#This Row],[date]], "dd")</f>
        <v>17</v>
      </c>
      <c r="E171" s="1">
        <f>IF(OR(WEEKDAY(calendar[[#This Row],[date]])= 1, WEEKDAY(calendar[[#This Row],[date]])=7), 0, 1)</f>
        <v>1</v>
      </c>
      <c r="F171">
        <f t="shared" si="10"/>
        <v>34</v>
      </c>
      <c r="G171" t="str">
        <f t="shared" si="11"/>
        <v>202608</v>
      </c>
      <c r="H171" s="5">
        <f t="shared" si="12"/>
        <v>21</v>
      </c>
      <c r="I171">
        <f t="shared" si="13"/>
        <v>4.2</v>
      </c>
    </row>
    <row r="172" spans="1:9">
      <c r="A172" s="3">
        <f t="shared" si="14"/>
        <v>46252</v>
      </c>
      <c r="B172" s="3" t="str">
        <f>TEXT(calendar[[#This Row],[date]], "yymmdd")</f>
        <v>260818</v>
      </c>
      <c r="C172" s="4">
        <f>DATEDIF("1/1/2024", calendar[[#This Row],[date]], "M")</f>
        <v>31</v>
      </c>
      <c r="D172" s="3" t="str">
        <f>TEXT(calendar[[#This Row],[date]], "dd")</f>
        <v>18</v>
      </c>
      <c r="E172" s="1">
        <f>IF(OR(WEEKDAY(calendar[[#This Row],[date]])= 1, WEEKDAY(calendar[[#This Row],[date]])=7), 0, 1)</f>
        <v>1</v>
      </c>
      <c r="F172">
        <f t="shared" si="10"/>
        <v>34</v>
      </c>
      <c r="G172" t="str">
        <f t="shared" si="11"/>
        <v>202608</v>
      </c>
      <c r="H172" s="5">
        <f t="shared" si="12"/>
        <v>21</v>
      </c>
      <c r="I172">
        <f t="shared" si="13"/>
        <v>4.2</v>
      </c>
    </row>
    <row r="173" spans="1:9">
      <c r="A173" s="3">
        <f t="shared" si="14"/>
        <v>46253</v>
      </c>
      <c r="B173" s="3" t="str">
        <f>TEXT(calendar[[#This Row],[date]], "yymmdd")</f>
        <v>260819</v>
      </c>
      <c r="C173" s="4">
        <f>DATEDIF("1/1/2024", calendar[[#This Row],[date]], "M")</f>
        <v>31</v>
      </c>
      <c r="D173" s="3" t="str">
        <f>TEXT(calendar[[#This Row],[date]], "dd")</f>
        <v>19</v>
      </c>
      <c r="E173" s="1">
        <f>IF(OR(WEEKDAY(calendar[[#This Row],[date]])= 1, WEEKDAY(calendar[[#This Row],[date]])=7), 0, 1)</f>
        <v>1</v>
      </c>
      <c r="F173">
        <f t="shared" si="10"/>
        <v>34</v>
      </c>
      <c r="G173" t="str">
        <f t="shared" si="11"/>
        <v>202608</v>
      </c>
      <c r="H173" s="5">
        <f t="shared" si="12"/>
        <v>21</v>
      </c>
      <c r="I173">
        <f t="shared" si="13"/>
        <v>4.2</v>
      </c>
    </row>
    <row r="174" spans="1:9">
      <c r="A174" s="3">
        <f t="shared" si="14"/>
        <v>46254</v>
      </c>
      <c r="B174" s="3" t="str">
        <f>TEXT(calendar[[#This Row],[date]], "yymmdd")</f>
        <v>260820</v>
      </c>
      <c r="C174" s="4">
        <f>DATEDIF("1/1/2024", calendar[[#This Row],[date]], "M")</f>
        <v>31</v>
      </c>
      <c r="D174" s="3" t="str">
        <f>TEXT(calendar[[#This Row],[date]], "dd")</f>
        <v>20</v>
      </c>
      <c r="E174" s="1">
        <f>IF(OR(WEEKDAY(calendar[[#This Row],[date]])= 1, WEEKDAY(calendar[[#This Row],[date]])=7), 0, 1)</f>
        <v>1</v>
      </c>
      <c r="F174">
        <f t="shared" si="10"/>
        <v>34</v>
      </c>
      <c r="G174" t="str">
        <f t="shared" si="11"/>
        <v>202608</v>
      </c>
      <c r="H174" s="5">
        <f t="shared" si="12"/>
        <v>21</v>
      </c>
      <c r="I174">
        <f t="shared" si="13"/>
        <v>4.2</v>
      </c>
    </row>
    <row r="175" spans="1:9">
      <c r="A175" s="3">
        <f t="shared" si="14"/>
        <v>46255</v>
      </c>
      <c r="B175" s="3" t="str">
        <f>TEXT(calendar[[#This Row],[date]], "yymmdd")</f>
        <v>260821</v>
      </c>
      <c r="C175" s="4">
        <f>DATEDIF("1/1/2024", calendar[[#This Row],[date]], "M")</f>
        <v>31</v>
      </c>
      <c r="D175" s="3" t="str">
        <f>TEXT(calendar[[#This Row],[date]], "dd")</f>
        <v>21</v>
      </c>
      <c r="E175" s="1">
        <f>IF(OR(WEEKDAY(calendar[[#This Row],[date]])= 1, WEEKDAY(calendar[[#This Row],[date]])=7), 0, 1)</f>
        <v>1</v>
      </c>
      <c r="F175">
        <f t="shared" si="10"/>
        <v>34</v>
      </c>
      <c r="G175" t="str">
        <f t="shared" si="11"/>
        <v>202608</v>
      </c>
      <c r="H175" s="5">
        <f t="shared" si="12"/>
        <v>21</v>
      </c>
      <c r="I175">
        <f t="shared" si="13"/>
        <v>4.2</v>
      </c>
    </row>
    <row r="176" spans="1:9">
      <c r="A176" s="3">
        <f t="shared" si="14"/>
        <v>46256</v>
      </c>
      <c r="B176" s="3" t="str">
        <f>TEXT(calendar[[#This Row],[date]], "yymmdd")</f>
        <v>260822</v>
      </c>
      <c r="C176" s="4">
        <f>DATEDIF("1/1/2024", calendar[[#This Row],[date]], "M")</f>
        <v>31</v>
      </c>
      <c r="D176" s="3" t="str">
        <f>TEXT(calendar[[#This Row],[date]], "dd")</f>
        <v>22</v>
      </c>
      <c r="E176" s="1">
        <f>IF(OR(WEEKDAY(calendar[[#This Row],[date]])= 1, WEEKDAY(calendar[[#This Row],[date]])=7), 0, 1)</f>
        <v>0</v>
      </c>
      <c r="F176">
        <f t="shared" si="10"/>
        <v>34</v>
      </c>
      <c r="G176" t="str">
        <f t="shared" si="11"/>
        <v>202608</v>
      </c>
      <c r="H176" s="5">
        <f t="shared" si="12"/>
        <v>21</v>
      </c>
      <c r="I176">
        <f t="shared" si="13"/>
        <v>4.2</v>
      </c>
    </row>
    <row r="177" spans="1:9">
      <c r="A177" s="3">
        <f t="shared" si="14"/>
        <v>46257</v>
      </c>
      <c r="B177" s="3" t="str">
        <f>TEXT(calendar[[#This Row],[date]], "yymmdd")</f>
        <v>260823</v>
      </c>
      <c r="C177" s="4">
        <f>DATEDIF("1/1/2024", calendar[[#This Row],[date]], "M")</f>
        <v>31</v>
      </c>
      <c r="D177" s="3" t="str">
        <f>TEXT(calendar[[#This Row],[date]], "dd")</f>
        <v>23</v>
      </c>
      <c r="E177" s="1">
        <f>IF(OR(WEEKDAY(calendar[[#This Row],[date]])= 1, WEEKDAY(calendar[[#This Row],[date]])=7), 0, 1)</f>
        <v>0</v>
      </c>
      <c r="F177">
        <f t="shared" si="10"/>
        <v>34</v>
      </c>
      <c r="G177" t="str">
        <f t="shared" si="11"/>
        <v>202608</v>
      </c>
      <c r="H177" s="5">
        <f t="shared" si="12"/>
        <v>21</v>
      </c>
      <c r="I177">
        <f t="shared" si="13"/>
        <v>4.2</v>
      </c>
    </row>
    <row r="178" spans="1:9">
      <c r="A178" s="3">
        <f t="shared" si="14"/>
        <v>46258</v>
      </c>
      <c r="B178" s="3" t="str">
        <f>TEXT(calendar[[#This Row],[date]], "yymmdd")</f>
        <v>260824</v>
      </c>
      <c r="C178" s="4">
        <f>DATEDIF("1/1/2024", calendar[[#This Row],[date]], "M")</f>
        <v>31</v>
      </c>
      <c r="D178" s="3" t="str">
        <f>TEXT(calendar[[#This Row],[date]], "dd")</f>
        <v>24</v>
      </c>
      <c r="E178" s="1">
        <f>IF(OR(WEEKDAY(calendar[[#This Row],[date]])= 1, WEEKDAY(calendar[[#This Row],[date]])=7), 0, 1)</f>
        <v>1</v>
      </c>
      <c r="F178">
        <f t="shared" si="10"/>
        <v>35</v>
      </c>
      <c r="G178" t="str">
        <f t="shared" si="11"/>
        <v>202608</v>
      </c>
      <c r="H178" s="5">
        <f t="shared" si="12"/>
        <v>21</v>
      </c>
      <c r="I178">
        <f t="shared" si="13"/>
        <v>4.2</v>
      </c>
    </row>
    <row r="179" spans="1:9">
      <c r="A179" s="3">
        <f t="shared" si="14"/>
        <v>46259</v>
      </c>
      <c r="B179" s="3" t="str">
        <f>TEXT(calendar[[#This Row],[date]], "yymmdd")</f>
        <v>260825</v>
      </c>
      <c r="C179" s="4">
        <f>DATEDIF("1/1/2024", calendar[[#This Row],[date]], "M")</f>
        <v>31</v>
      </c>
      <c r="D179" s="3" t="str">
        <f>TEXT(calendar[[#This Row],[date]], "dd")</f>
        <v>25</v>
      </c>
      <c r="E179" s="1">
        <f>IF(OR(WEEKDAY(calendar[[#This Row],[date]])= 1, WEEKDAY(calendar[[#This Row],[date]])=7), 0, 1)</f>
        <v>1</v>
      </c>
      <c r="F179">
        <f t="shared" si="10"/>
        <v>35</v>
      </c>
      <c r="G179" t="str">
        <f t="shared" si="11"/>
        <v>202608</v>
      </c>
      <c r="H179" s="5">
        <f t="shared" si="12"/>
        <v>21</v>
      </c>
      <c r="I179">
        <f t="shared" si="13"/>
        <v>4.2</v>
      </c>
    </row>
    <row r="180" spans="1:9">
      <c r="A180" s="3">
        <f t="shared" si="14"/>
        <v>46260</v>
      </c>
      <c r="B180" s="3" t="str">
        <f>TEXT(calendar[[#This Row],[date]], "yymmdd")</f>
        <v>260826</v>
      </c>
      <c r="C180" s="4">
        <f>DATEDIF("1/1/2024", calendar[[#This Row],[date]], "M")</f>
        <v>31</v>
      </c>
      <c r="D180" s="3" t="str">
        <f>TEXT(calendar[[#This Row],[date]], "dd")</f>
        <v>26</v>
      </c>
      <c r="E180" s="1">
        <f>IF(OR(WEEKDAY(calendar[[#This Row],[date]])= 1, WEEKDAY(calendar[[#This Row],[date]])=7), 0, 1)</f>
        <v>1</v>
      </c>
      <c r="F180">
        <f t="shared" si="10"/>
        <v>35</v>
      </c>
      <c r="G180" t="str">
        <f t="shared" si="11"/>
        <v>202608</v>
      </c>
      <c r="H180" s="5">
        <f t="shared" si="12"/>
        <v>21</v>
      </c>
      <c r="I180">
        <f t="shared" si="13"/>
        <v>4.2</v>
      </c>
    </row>
    <row r="181" spans="1:9">
      <c r="A181" s="3">
        <f t="shared" si="14"/>
        <v>46261</v>
      </c>
      <c r="B181" s="3" t="str">
        <f>TEXT(calendar[[#This Row],[date]], "yymmdd")</f>
        <v>260827</v>
      </c>
      <c r="C181" s="4">
        <f>DATEDIF("1/1/2024", calendar[[#This Row],[date]], "M")</f>
        <v>31</v>
      </c>
      <c r="D181" s="3" t="str">
        <f>TEXT(calendar[[#This Row],[date]], "dd")</f>
        <v>27</v>
      </c>
      <c r="E181" s="1">
        <f>IF(OR(WEEKDAY(calendar[[#This Row],[date]])= 1, WEEKDAY(calendar[[#This Row],[date]])=7), 0, 1)</f>
        <v>1</v>
      </c>
      <c r="F181">
        <f t="shared" si="10"/>
        <v>35</v>
      </c>
      <c r="G181" t="str">
        <f t="shared" si="11"/>
        <v>202608</v>
      </c>
      <c r="H181" s="5">
        <f t="shared" si="12"/>
        <v>21</v>
      </c>
      <c r="I181">
        <f t="shared" si="13"/>
        <v>4.2</v>
      </c>
    </row>
    <row r="182" spans="1:9">
      <c r="A182" s="3">
        <f t="shared" si="14"/>
        <v>46262</v>
      </c>
      <c r="B182" s="3" t="str">
        <f>TEXT(calendar[[#This Row],[date]], "yymmdd")</f>
        <v>260828</v>
      </c>
      <c r="C182" s="4">
        <f>DATEDIF("1/1/2024", calendar[[#This Row],[date]], "M")</f>
        <v>31</v>
      </c>
      <c r="D182" s="3" t="str">
        <f>TEXT(calendar[[#This Row],[date]], "dd")</f>
        <v>28</v>
      </c>
      <c r="E182" s="1">
        <f>IF(OR(WEEKDAY(calendar[[#This Row],[date]])= 1, WEEKDAY(calendar[[#This Row],[date]])=7), 0, 1)</f>
        <v>1</v>
      </c>
      <c r="F182">
        <f t="shared" si="10"/>
        <v>35</v>
      </c>
      <c r="G182" t="str">
        <f t="shared" si="11"/>
        <v>202608</v>
      </c>
      <c r="H182" s="5">
        <f t="shared" si="12"/>
        <v>21</v>
      </c>
      <c r="I182">
        <f t="shared" si="13"/>
        <v>4.2</v>
      </c>
    </row>
    <row r="183" spans="1:9">
      <c r="A183" s="3">
        <f t="shared" si="14"/>
        <v>46263</v>
      </c>
      <c r="B183" s="3" t="str">
        <f>TEXT(calendar[[#This Row],[date]], "yymmdd")</f>
        <v>260829</v>
      </c>
      <c r="C183" s="4">
        <f>DATEDIF("1/1/2024", calendar[[#This Row],[date]], "M")</f>
        <v>31</v>
      </c>
      <c r="D183" s="3" t="str">
        <f>TEXT(calendar[[#This Row],[date]], "dd")</f>
        <v>29</v>
      </c>
      <c r="E183" s="1">
        <f>IF(OR(WEEKDAY(calendar[[#This Row],[date]])= 1, WEEKDAY(calendar[[#This Row],[date]])=7), 0, 1)</f>
        <v>0</v>
      </c>
      <c r="F183">
        <f t="shared" si="10"/>
        <v>35</v>
      </c>
      <c r="G183" t="str">
        <f t="shared" si="11"/>
        <v>202608</v>
      </c>
      <c r="H183" s="5">
        <f t="shared" si="12"/>
        <v>21</v>
      </c>
      <c r="I183">
        <f t="shared" si="13"/>
        <v>4.2</v>
      </c>
    </row>
    <row r="184" spans="1:9">
      <c r="A184" s="3">
        <f t="shared" si="14"/>
        <v>46264</v>
      </c>
      <c r="B184" s="3" t="str">
        <f>TEXT(calendar[[#This Row],[date]], "yymmdd")</f>
        <v>260830</v>
      </c>
      <c r="C184" s="4">
        <f>DATEDIF("1/1/2024", calendar[[#This Row],[date]], "M")</f>
        <v>31</v>
      </c>
      <c r="D184" s="3" t="str">
        <f>TEXT(calendar[[#This Row],[date]], "dd")</f>
        <v>30</v>
      </c>
      <c r="E184" s="1">
        <f>IF(OR(WEEKDAY(calendar[[#This Row],[date]])= 1, WEEKDAY(calendar[[#This Row],[date]])=7), 0, 1)</f>
        <v>0</v>
      </c>
      <c r="F184">
        <f t="shared" si="10"/>
        <v>35</v>
      </c>
      <c r="G184" t="str">
        <f t="shared" si="11"/>
        <v>202608</v>
      </c>
      <c r="H184" s="5">
        <f t="shared" si="12"/>
        <v>21</v>
      </c>
      <c r="I184">
        <f t="shared" si="13"/>
        <v>4.2</v>
      </c>
    </row>
    <row r="185" spans="1:9">
      <c r="A185" s="3">
        <f t="shared" si="14"/>
        <v>46265</v>
      </c>
      <c r="B185" s="3" t="str">
        <f>TEXT(calendar[[#This Row],[date]], "yymmdd")</f>
        <v>260831</v>
      </c>
      <c r="C185" s="4">
        <f>DATEDIF("1/1/2024", calendar[[#This Row],[date]], "M")</f>
        <v>31</v>
      </c>
      <c r="D185" s="3" t="str">
        <f>TEXT(calendar[[#This Row],[date]], "dd")</f>
        <v>31</v>
      </c>
      <c r="E185" s="1">
        <f>IF(OR(WEEKDAY(calendar[[#This Row],[date]])= 1, WEEKDAY(calendar[[#This Row],[date]])=7), 0, 1)</f>
        <v>1</v>
      </c>
      <c r="F185">
        <f t="shared" si="10"/>
        <v>36</v>
      </c>
      <c r="G185" t="str">
        <f t="shared" si="11"/>
        <v>202608</v>
      </c>
      <c r="H185" s="5">
        <f t="shared" si="12"/>
        <v>21</v>
      </c>
      <c r="I185">
        <f t="shared" si="13"/>
        <v>4.2</v>
      </c>
    </row>
    <row r="186" spans="1:9">
      <c r="A186" s="3">
        <f t="shared" si="14"/>
        <v>46266</v>
      </c>
      <c r="B186" s="3" t="str">
        <f>TEXT(calendar[[#This Row],[date]], "yymmdd")</f>
        <v>260901</v>
      </c>
      <c r="C186" s="4">
        <f>DATEDIF("1/1/2024", calendar[[#This Row],[date]], "M")</f>
        <v>32</v>
      </c>
      <c r="D186" s="3" t="str">
        <f>TEXT(calendar[[#This Row],[date]], "dd")</f>
        <v>01</v>
      </c>
      <c r="E186" s="1">
        <f>IF(OR(WEEKDAY(calendar[[#This Row],[date]])= 1, WEEKDAY(calendar[[#This Row],[date]])=7), 0, 1)</f>
        <v>1</v>
      </c>
      <c r="F186">
        <f t="shared" si="10"/>
        <v>36</v>
      </c>
      <c r="G186" t="str">
        <f t="shared" si="11"/>
        <v>202609</v>
      </c>
      <c r="H186" s="5">
        <f t="shared" si="12"/>
        <v>21</v>
      </c>
      <c r="I186">
        <f t="shared" si="13"/>
        <v>4.2</v>
      </c>
    </row>
    <row r="187" spans="1:9">
      <c r="A187" s="3">
        <f t="shared" si="14"/>
        <v>46267</v>
      </c>
      <c r="B187" s="3" t="str">
        <f>TEXT(calendar[[#This Row],[date]], "yymmdd")</f>
        <v>260902</v>
      </c>
      <c r="C187" s="4">
        <f>DATEDIF("1/1/2024", calendar[[#This Row],[date]], "M")</f>
        <v>32</v>
      </c>
      <c r="D187" s="3" t="str">
        <f>TEXT(calendar[[#This Row],[date]], "dd")</f>
        <v>02</v>
      </c>
      <c r="E187" s="1">
        <f>IF(OR(WEEKDAY(calendar[[#This Row],[date]])= 1, WEEKDAY(calendar[[#This Row],[date]])=7), 0, 1)</f>
        <v>1</v>
      </c>
      <c r="F187">
        <f t="shared" si="10"/>
        <v>36</v>
      </c>
      <c r="G187" t="str">
        <f t="shared" si="11"/>
        <v>202609</v>
      </c>
      <c r="H187" s="5">
        <f t="shared" si="12"/>
        <v>21</v>
      </c>
      <c r="I187">
        <f t="shared" si="13"/>
        <v>4.2</v>
      </c>
    </row>
    <row r="188" spans="1:9">
      <c r="A188" s="3">
        <f t="shared" si="14"/>
        <v>46268</v>
      </c>
      <c r="B188" s="3" t="str">
        <f>TEXT(calendar[[#This Row],[date]], "yymmdd")</f>
        <v>260903</v>
      </c>
      <c r="C188" s="4">
        <f>DATEDIF("1/1/2024", calendar[[#This Row],[date]], "M")</f>
        <v>32</v>
      </c>
      <c r="D188" s="3" t="str">
        <f>TEXT(calendar[[#This Row],[date]], "dd")</f>
        <v>03</v>
      </c>
      <c r="E188" s="1">
        <f>IF(OR(WEEKDAY(calendar[[#This Row],[date]])= 1, WEEKDAY(calendar[[#This Row],[date]])=7), 0, 1)</f>
        <v>1</v>
      </c>
      <c r="F188">
        <f t="shared" si="10"/>
        <v>36</v>
      </c>
      <c r="G188" t="str">
        <f t="shared" si="11"/>
        <v>202609</v>
      </c>
      <c r="H188" s="5">
        <f t="shared" si="12"/>
        <v>21</v>
      </c>
      <c r="I188">
        <f t="shared" si="13"/>
        <v>4.2</v>
      </c>
    </row>
    <row r="189" spans="1:9">
      <c r="A189" s="3">
        <f t="shared" si="14"/>
        <v>46269</v>
      </c>
      <c r="B189" s="3" t="str">
        <f>TEXT(calendar[[#This Row],[date]], "yymmdd")</f>
        <v>260904</v>
      </c>
      <c r="C189" s="4">
        <f>DATEDIF("1/1/2024", calendar[[#This Row],[date]], "M")</f>
        <v>32</v>
      </c>
      <c r="D189" s="3" t="str">
        <f>TEXT(calendar[[#This Row],[date]], "dd")</f>
        <v>04</v>
      </c>
      <c r="E189" s="1">
        <f>IF(OR(WEEKDAY(calendar[[#This Row],[date]])= 1, WEEKDAY(calendar[[#This Row],[date]])=7), 0, 1)</f>
        <v>1</v>
      </c>
      <c r="F189">
        <f t="shared" si="10"/>
        <v>36</v>
      </c>
      <c r="G189" t="str">
        <f t="shared" si="11"/>
        <v>202609</v>
      </c>
      <c r="H189" s="5">
        <f t="shared" si="12"/>
        <v>21</v>
      </c>
      <c r="I189">
        <f t="shared" si="13"/>
        <v>4.2</v>
      </c>
    </row>
    <row r="190" spans="1:9">
      <c r="A190" s="3">
        <f t="shared" si="14"/>
        <v>46270</v>
      </c>
      <c r="B190" s="3" t="str">
        <f>TEXT(calendar[[#This Row],[date]], "yymmdd")</f>
        <v>260905</v>
      </c>
      <c r="C190" s="4">
        <f>DATEDIF("1/1/2024", calendar[[#This Row],[date]], "M")</f>
        <v>32</v>
      </c>
      <c r="D190" s="3" t="str">
        <f>TEXT(calendar[[#This Row],[date]], "dd")</f>
        <v>05</v>
      </c>
      <c r="E190" s="1">
        <f>IF(OR(WEEKDAY(calendar[[#This Row],[date]])= 1, WEEKDAY(calendar[[#This Row],[date]])=7), 0, 1)</f>
        <v>0</v>
      </c>
      <c r="F190">
        <f t="shared" si="10"/>
        <v>36</v>
      </c>
      <c r="G190" t="str">
        <f t="shared" si="11"/>
        <v>202609</v>
      </c>
      <c r="H190" s="5">
        <f t="shared" si="12"/>
        <v>21</v>
      </c>
      <c r="I190">
        <f t="shared" si="13"/>
        <v>4.2</v>
      </c>
    </row>
    <row r="191" spans="1:9">
      <c r="A191" s="3">
        <f t="shared" si="14"/>
        <v>46271</v>
      </c>
      <c r="B191" s="3" t="str">
        <f>TEXT(calendar[[#This Row],[date]], "yymmdd")</f>
        <v>260906</v>
      </c>
      <c r="C191" s="4">
        <f>DATEDIF("1/1/2024", calendar[[#This Row],[date]], "M")</f>
        <v>32</v>
      </c>
      <c r="D191" s="3" t="str">
        <f>TEXT(calendar[[#This Row],[date]], "dd")</f>
        <v>06</v>
      </c>
      <c r="E191" s="1">
        <f>IF(OR(WEEKDAY(calendar[[#This Row],[date]])= 1, WEEKDAY(calendar[[#This Row],[date]])=7), 0, 1)</f>
        <v>0</v>
      </c>
      <c r="F191">
        <f t="shared" si="10"/>
        <v>36</v>
      </c>
      <c r="G191" t="str">
        <f t="shared" si="11"/>
        <v>202609</v>
      </c>
      <c r="H191" s="5">
        <f t="shared" si="12"/>
        <v>21</v>
      </c>
      <c r="I191">
        <f t="shared" si="13"/>
        <v>4.2</v>
      </c>
    </row>
    <row r="192" spans="1:9">
      <c r="A192" s="3">
        <f t="shared" si="14"/>
        <v>46272</v>
      </c>
      <c r="B192" s="3" t="str">
        <f>TEXT(calendar[[#This Row],[date]], "yymmdd")</f>
        <v>260907</v>
      </c>
      <c r="C192" s="4">
        <f>DATEDIF("1/1/2024", calendar[[#This Row],[date]], "M")</f>
        <v>32</v>
      </c>
      <c r="D192" s="3" t="str">
        <f>TEXT(calendar[[#This Row],[date]], "dd")</f>
        <v>07</v>
      </c>
      <c r="E192" s="1">
        <f>IF(OR(WEEKDAY(calendar[[#This Row],[date]])= 1, WEEKDAY(calendar[[#This Row],[date]])=7), 0, 1)</f>
        <v>1</v>
      </c>
      <c r="F192">
        <f t="shared" si="10"/>
        <v>37</v>
      </c>
      <c r="G192" t="str">
        <f t="shared" si="11"/>
        <v>202609</v>
      </c>
      <c r="H192" s="5">
        <f t="shared" si="12"/>
        <v>21</v>
      </c>
      <c r="I192">
        <f t="shared" si="13"/>
        <v>4.2</v>
      </c>
    </row>
    <row r="193" spans="1:9">
      <c r="A193" s="3">
        <f t="shared" si="14"/>
        <v>46273</v>
      </c>
      <c r="B193" s="3" t="str">
        <f>TEXT(calendar[[#This Row],[date]], "yymmdd")</f>
        <v>260908</v>
      </c>
      <c r="C193" s="4">
        <f>DATEDIF("1/1/2024", calendar[[#This Row],[date]], "M")</f>
        <v>32</v>
      </c>
      <c r="D193" s="3" t="str">
        <f>TEXT(calendar[[#This Row],[date]], "dd")</f>
        <v>08</v>
      </c>
      <c r="E193" s="1">
        <f>IF(OR(WEEKDAY(calendar[[#This Row],[date]])= 1, WEEKDAY(calendar[[#This Row],[date]])=7), 0, 1)</f>
        <v>1</v>
      </c>
      <c r="F193">
        <f t="shared" si="10"/>
        <v>37</v>
      </c>
      <c r="G193" t="str">
        <f t="shared" si="11"/>
        <v>202609</v>
      </c>
      <c r="H193" s="5">
        <f t="shared" si="12"/>
        <v>21</v>
      </c>
      <c r="I193">
        <f t="shared" si="13"/>
        <v>4.2</v>
      </c>
    </row>
    <row r="194" spans="1:9">
      <c r="A194" s="3">
        <f t="shared" si="14"/>
        <v>46274</v>
      </c>
      <c r="B194" s="3" t="str">
        <f>TEXT(calendar[[#This Row],[date]], "yymmdd")</f>
        <v>260909</v>
      </c>
      <c r="C194" s="4">
        <f>DATEDIF("1/1/2024", calendar[[#This Row],[date]], "M")</f>
        <v>32</v>
      </c>
      <c r="D194" s="3" t="str">
        <f>TEXT(calendar[[#This Row],[date]], "dd")</f>
        <v>09</v>
      </c>
      <c r="E194" s="1">
        <f>IF(OR(WEEKDAY(calendar[[#This Row],[date]])= 1, WEEKDAY(calendar[[#This Row],[date]])=7), 0, 1)</f>
        <v>1</v>
      </c>
      <c r="F194">
        <f t="shared" ref="F194:F257" si="15">_xlfn.ISOWEEKNUM(A194)</f>
        <v>37</v>
      </c>
      <c r="G194" t="str">
        <f t="shared" ref="G194:G257" si="16">TEXT(A194, "yyyymm")</f>
        <v>202609</v>
      </c>
      <c r="H194" s="5">
        <f t="shared" ref="H194:H257" si="17">NETWORKDAYS(EOMONTH(A194,-1)+1,EOMONTH(A194,0), L$2:L$11)</f>
        <v>21</v>
      </c>
      <c r="I194">
        <f t="shared" si="13"/>
        <v>4.2</v>
      </c>
    </row>
    <row r="195" spans="1:9">
      <c r="A195" s="3">
        <f t="shared" si="14"/>
        <v>46275</v>
      </c>
      <c r="B195" s="3" t="str">
        <f>TEXT(calendar[[#This Row],[date]], "yymmdd")</f>
        <v>260910</v>
      </c>
      <c r="C195" s="4">
        <f>DATEDIF("1/1/2024", calendar[[#This Row],[date]], "M")</f>
        <v>32</v>
      </c>
      <c r="D195" s="3" t="str">
        <f>TEXT(calendar[[#This Row],[date]], "dd")</f>
        <v>10</v>
      </c>
      <c r="E195" s="1">
        <f>IF(OR(WEEKDAY(calendar[[#This Row],[date]])= 1, WEEKDAY(calendar[[#This Row],[date]])=7), 0, 1)</f>
        <v>1</v>
      </c>
      <c r="F195">
        <f t="shared" si="15"/>
        <v>37</v>
      </c>
      <c r="G195" t="str">
        <f t="shared" si="16"/>
        <v>202609</v>
      </c>
      <c r="H195" s="5">
        <f t="shared" si="17"/>
        <v>21</v>
      </c>
      <c r="I195">
        <f t="shared" ref="I195:I258" si="18">H195/5</f>
        <v>4.2</v>
      </c>
    </row>
    <row r="196" spans="1:9">
      <c r="A196" s="3">
        <f t="shared" ref="A196:A259" si="19">A195+1</f>
        <v>46276</v>
      </c>
      <c r="B196" s="3" t="str">
        <f>TEXT(calendar[[#This Row],[date]], "yymmdd")</f>
        <v>260911</v>
      </c>
      <c r="C196" s="4">
        <f>DATEDIF("1/1/2024", calendar[[#This Row],[date]], "M")</f>
        <v>32</v>
      </c>
      <c r="D196" s="3" t="str">
        <f>TEXT(calendar[[#This Row],[date]], "dd")</f>
        <v>11</v>
      </c>
      <c r="E196" s="1">
        <f>IF(OR(WEEKDAY(calendar[[#This Row],[date]])= 1, WEEKDAY(calendar[[#This Row],[date]])=7), 0, 1)</f>
        <v>1</v>
      </c>
      <c r="F196">
        <f t="shared" si="15"/>
        <v>37</v>
      </c>
      <c r="G196" t="str">
        <f t="shared" si="16"/>
        <v>202609</v>
      </c>
      <c r="H196" s="5">
        <f t="shared" si="17"/>
        <v>21</v>
      </c>
      <c r="I196">
        <f t="shared" si="18"/>
        <v>4.2</v>
      </c>
    </row>
    <row r="197" spans="1:9">
      <c r="A197" s="3">
        <f t="shared" si="19"/>
        <v>46277</v>
      </c>
      <c r="B197" s="3" t="str">
        <f>TEXT(calendar[[#This Row],[date]], "yymmdd")</f>
        <v>260912</v>
      </c>
      <c r="C197" s="4">
        <f>DATEDIF("1/1/2024", calendar[[#This Row],[date]], "M")</f>
        <v>32</v>
      </c>
      <c r="D197" s="3" t="str">
        <f>TEXT(calendar[[#This Row],[date]], "dd")</f>
        <v>12</v>
      </c>
      <c r="E197" s="1">
        <f>IF(OR(WEEKDAY(calendar[[#This Row],[date]])= 1, WEEKDAY(calendar[[#This Row],[date]])=7), 0, 1)</f>
        <v>0</v>
      </c>
      <c r="F197">
        <f t="shared" si="15"/>
        <v>37</v>
      </c>
      <c r="G197" t="str">
        <f t="shared" si="16"/>
        <v>202609</v>
      </c>
      <c r="H197" s="5">
        <f t="shared" si="17"/>
        <v>21</v>
      </c>
      <c r="I197">
        <f t="shared" si="18"/>
        <v>4.2</v>
      </c>
    </row>
    <row r="198" spans="1:9">
      <c r="A198" s="3">
        <f t="shared" si="19"/>
        <v>46278</v>
      </c>
      <c r="B198" s="3" t="str">
        <f>TEXT(calendar[[#This Row],[date]], "yymmdd")</f>
        <v>260913</v>
      </c>
      <c r="C198" s="4">
        <f>DATEDIF("1/1/2024", calendar[[#This Row],[date]], "M")</f>
        <v>32</v>
      </c>
      <c r="D198" s="3" t="str">
        <f>TEXT(calendar[[#This Row],[date]], "dd")</f>
        <v>13</v>
      </c>
      <c r="E198" s="1">
        <f>IF(OR(WEEKDAY(calendar[[#This Row],[date]])= 1, WEEKDAY(calendar[[#This Row],[date]])=7), 0, 1)</f>
        <v>0</v>
      </c>
      <c r="F198">
        <f t="shared" si="15"/>
        <v>37</v>
      </c>
      <c r="G198" t="str">
        <f t="shared" si="16"/>
        <v>202609</v>
      </c>
      <c r="H198" s="5">
        <f t="shared" si="17"/>
        <v>21</v>
      </c>
      <c r="I198">
        <f t="shared" si="18"/>
        <v>4.2</v>
      </c>
    </row>
    <row r="199" spans="1:9">
      <c r="A199" s="3">
        <f t="shared" si="19"/>
        <v>46279</v>
      </c>
      <c r="B199" s="3" t="str">
        <f>TEXT(calendar[[#This Row],[date]], "yymmdd")</f>
        <v>260914</v>
      </c>
      <c r="C199" s="4">
        <f>DATEDIF("1/1/2024", calendar[[#This Row],[date]], "M")</f>
        <v>32</v>
      </c>
      <c r="D199" s="3" t="str">
        <f>TEXT(calendar[[#This Row],[date]], "dd")</f>
        <v>14</v>
      </c>
      <c r="E199" s="1">
        <f>IF(OR(WEEKDAY(calendar[[#This Row],[date]])= 1, WEEKDAY(calendar[[#This Row],[date]])=7), 0, 1)</f>
        <v>1</v>
      </c>
      <c r="F199">
        <f t="shared" si="15"/>
        <v>38</v>
      </c>
      <c r="G199" t="str">
        <f t="shared" si="16"/>
        <v>202609</v>
      </c>
      <c r="H199" s="5">
        <f t="shared" si="17"/>
        <v>21</v>
      </c>
      <c r="I199">
        <f t="shared" si="18"/>
        <v>4.2</v>
      </c>
    </row>
    <row r="200" spans="1:9">
      <c r="A200" s="3">
        <f t="shared" si="19"/>
        <v>46280</v>
      </c>
      <c r="B200" s="3" t="str">
        <f>TEXT(calendar[[#This Row],[date]], "yymmdd")</f>
        <v>260915</v>
      </c>
      <c r="C200" s="4">
        <f>DATEDIF("1/1/2024", calendar[[#This Row],[date]], "M")</f>
        <v>32</v>
      </c>
      <c r="D200" s="3" t="str">
        <f>TEXT(calendar[[#This Row],[date]], "dd")</f>
        <v>15</v>
      </c>
      <c r="E200" s="1">
        <f>IF(OR(WEEKDAY(calendar[[#This Row],[date]])= 1, WEEKDAY(calendar[[#This Row],[date]])=7), 0, 1)</f>
        <v>1</v>
      </c>
      <c r="F200">
        <f t="shared" si="15"/>
        <v>38</v>
      </c>
      <c r="G200" t="str">
        <f t="shared" si="16"/>
        <v>202609</v>
      </c>
      <c r="H200" s="5">
        <f t="shared" si="17"/>
        <v>21</v>
      </c>
      <c r="I200">
        <f t="shared" si="18"/>
        <v>4.2</v>
      </c>
    </row>
    <row r="201" spans="1:9">
      <c r="A201" s="3">
        <f t="shared" si="19"/>
        <v>46281</v>
      </c>
      <c r="B201" s="3" t="str">
        <f>TEXT(calendar[[#This Row],[date]], "yymmdd")</f>
        <v>260916</v>
      </c>
      <c r="C201" s="4">
        <f>DATEDIF("1/1/2024", calendar[[#This Row],[date]], "M")</f>
        <v>32</v>
      </c>
      <c r="D201" s="3" t="str">
        <f>TEXT(calendar[[#This Row],[date]], "dd")</f>
        <v>16</v>
      </c>
      <c r="E201" s="1">
        <f>IF(OR(WEEKDAY(calendar[[#This Row],[date]])= 1, WEEKDAY(calendar[[#This Row],[date]])=7), 0, 1)</f>
        <v>1</v>
      </c>
      <c r="F201">
        <f t="shared" si="15"/>
        <v>38</v>
      </c>
      <c r="G201" t="str">
        <f t="shared" si="16"/>
        <v>202609</v>
      </c>
      <c r="H201" s="5">
        <f t="shared" si="17"/>
        <v>21</v>
      </c>
      <c r="I201">
        <f t="shared" si="18"/>
        <v>4.2</v>
      </c>
    </row>
    <row r="202" spans="1:9">
      <c r="A202" s="3">
        <f t="shared" si="19"/>
        <v>46282</v>
      </c>
      <c r="B202" s="3" t="str">
        <f>TEXT(calendar[[#This Row],[date]], "yymmdd")</f>
        <v>260917</v>
      </c>
      <c r="C202" s="4">
        <f>DATEDIF("1/1/2024", calendar[[#This Row],[date]], "M")</f>
        <v>32</v>
      </c>
      <c r="D202" s="3" t="str">
        <f>TEXT(calendar[[#This Row],[date]], "dd")</f>
        <v>17</v>
      </c>
      <c r="E202" s="1">
        <f>IF(OR(WEEKDAY(calendar[[#This Row],[date]])= 1, WEEKDAY(calendar[[#This Row],[date]])=7), 0, 1)</f>
        <v>1</v>
      </c>
      <c r="F202">
        <f t="shared" si="15"/>
        <v>38</v>
      </c>
      <c r="G202" t="str">
        <f t="shared" si="16"/>
        <v>202609</v>
      </c>
      <c r="H202" s="5">
        <f t="shared" si="17"/>
        <v>21</v>
      </c>
      <c r="I202">
        <f t="shared" si="18"/>
        <v>4.2</v>
      </c>
    </row>
    <row r="203" spans="1:9">
      <c r="A203" s="3">
        <f t="shared" si="19"/>
        <v>46283</v>
      </c>
      <c r="B203" s="3" t="str">
        <f>TEXT(calendar[[#This Row],[date]], "yymmdd")</f>
        <v>260918</v>
      </c>
      <c r="C203" s="4">
        <f>DATEDIF("1/1/2024", calendar[[#This Row],[date]], "M")</f>
        <v>32</v>
      </c>
      <c r="D203" s="3" t="str">
        <f>TEXT(calendar[[#This Row],[date]], "dd")</f>
        <v>18</v>
      </c>
      <c r="E203" s="1">
        <f>IF(OR(WEEKDAY(calendar[[#This Row],[date]])= 1, WEEKDAY(calendar[[#This Row],[date]])=7), 0, 1)</f>
        <v>1</v>
      </c>
      <c r="F203">
        <f t="shared" si="15"/>
        <v>38</v>
      </c>
      <c r="G203" t="str">
        <f t="shared" si="16"/>
        <v>202609</v>
      </c>
      <c r="H203" s="5">
        <f t="shared" si="17"/>
        <v>21</v>
      </c>
      <c r="I203">
        <f t="shared" si="18"/>
        <v>4.2</v>
      </c>
    </row>
    <row r="204" spans="1:9">
      <c r="A204" s="3">
        <f t="shared" si="19"/>
        <v>46284</v>
      </c>
      <c r="B204" s="3" t="str">
        <f>TEXT(calendar[[#This Row],[date]], "yymmdd")</f>
        <v>260919</v>
      </c>
      <c r="C204" s="4">
        <f>DATEDIF("1/1/2024", calendar[[#This Row],[date]], "M")</f>
        <v>32</v>
      </c>
      <c r="D204" s="3" t="str">
        <f>TEXT(calendar[[#This Row],[date]], "dd")</f>
        <v>19</v>
      </c>
      <c r="E204" s="1">
        <f>IF(OR(WEEKDAY(calendar[[#This Row],[date]])= 1, WEEKDAY(calendar[[#This Row],[date]])=7), 0, 1)</f>
        <v>0</v>
      </c>
      <c r="F204">
        <f t="shared" si="15"/>
        <v>38</v>
      </c>
      <c r="G204" t="str">
        <f t="shared" si="16"/>
        <v>202609</v>
      </c>
      <c r="H204" s="5">
        <f t="shared" si="17"/>
        <v>21</v>
      </c>
      <c r="I204">
        <f t="shared" si="18"/>
        <v>4.2</v>
      </c>
    </row>
    <row r="205" spans="1:9">
      <c r="A205" s="3">
        <f t="shared" si="19"/>
        <v>46285</v>
      </c>
      <c r="B205" s="3" t="str">
        <f>TEXT(calendar[[#This Row],[date]], "yymmdd")</f>
        <v>260920</v>
      </c>
      <c r="C205" s="4">
        <f>DATEDIF("1/1/2024", calendar[[#This Row],[date]], "M")</f>
        <v>32</v>
      </c>
      <c r="D205" s="3" t="str">
        <f>TEXT(calendar[[#This Row],[date]], "dd")</f>
        <v>20</v>
      </c>
      <c r="E205" s="1">
        <f>IF(OR(WEEKDAY(calendar[[#This Row],[date]])= 1, WEEKDAY(calendar[[#This Row],[date]])=7), 0, 1)</f>
        <v>0</v>
      </c>
      <c r="F205">
        <f t="shared" si="15"/>
        <v>38</v>
      </c>
      <c r="G205" t="str">
        <f t="shared" si="16"/>
        <v>202609</v>
      </c>
      <c r="H205" s="5">
        <f t="shared" si="17"/>
        <v>21</v>
      </c>
      <c r="I205">
        <f t="shared" si="18"/>
        <v>4.2</v>
      </c>
    </row>
    <row r="206" spans="1:9">
      <c r="A206" s="3">
        <f t="shared" si="19"/>
        <v>46286</v>
      </c>
      <c r="B206" s="3" t="str">
        <f>TEXT(calendar[[#This Row],[date]], "yymmdd")</f>
        <v>260921</v>
      </c>
      <c r="C206" s="4">
        <f>DATEDIF("1/1/2024", calendar[[#This Row],[date]], "M")</f>
        <v>32</v>
      </c>
      <c r="D206" s="3" t="str">
        <f>TEXT(calendar[[#This Row],[date]], "dd")</f>
        <v>21</v>
      </c>
      <c r="E206" s="1">
        <f>IF(OR(WEEKDAY(calendar[[#This Row],[date]])= 1, WEEKDAY(calendar[[#This Row],[date]])=7), 0, 1)</f>
        <v>1</v>
      </c>
      <c r="F206">
        <f t="shared" si="15"/>
        <v>39</v>
      </c>
      <c r="G206" t="str">
        <f t="shared" si="16"/>
        <v>202609</v>
      </c>
      <c r="H206" s="5">
        <f t="shared" si="17"/>
        <v>21</v>
      </c>
      <c r="I206">
        <f t="shared" si="18"/>
        <v>4.2</v>
      </c>
    </row>
    <row r="207" spans="1:9">
      <c r="A207" s="3">
        <f t="shared" si="19"/>
        <v>46287</v>
      </c>
      <c r="B207" s="3" t="str">
        <f>TEXT(calendar[[#This Row],[date]], "yymmdd")</f>
        <v>260922</v>
      </c>
      <c r="C207" s="4">
        <f>DATEDIF("1/1/2024", calendar[[#This Row],[date]], "M")</f>
        <v>32</v>
      </c>
      <c r="D207" s="3" t="str">
        <f>TEXT(calendar[[#This Row],[date]], "dd")</f>
        <v>22</v>
      </c>
      <c r="E207" s="1">
        <f>IF(OR(WEEKDAY(calendar[[#This Row],[date]])= 1, WEEKDAY(calendar[[#This Row],[date]])=7), 0, 1)</f>
        <v>1</v>
      </c>
      <c r="F207">
        <f t="shared" si="15"/>
        <v>39</v>
      </c>
      <c r="G207" t="str">
        <f t="shared" si="16"/>
        <v>202609</v>
      </c>
      <c r="H207" s="5">
        <f t="shared" si="17"/>
        <v>21</v>
      </c>
      <c r="I207">
        <f t="shared" si="18"/>
        <v>4.2</v>
      </c>
    </row>
    <row r="208" spans="1:9">
      <c r="A208" s="3">
        <f t="shared" si="19"/>
        <v>46288</v>
      </c>
      <c r="B208" s="3" t="str">
        <f>TEXT(calendar[[#This Row],[date]], "yymmdd")</f>
        <v>260923</v>
      </c>
      <c r="C208" s="4">
        <f>DATEDIF("1/1/2024", calendar[[#This Row],[date]], "M")</f>
        <v>32</v>
      </c>
      <c r="D208" s="3" t="str">
        <f>TEXT(calendar[[#This Row],[date]], "dd")</f>
        <v>23</v>
      </c>
      <c r="E208" s="1">
        <f>IF(OR(WEEKDAY(calendar[[#This Row],[date]])= 1, WEEKDAY(calendar[[#This Row],[date]])=7), 0, 1)</f>
        <v>1</v>
      </c>
      <c r="F208">
        <f t="shared" si="15"/>
        <v>39</v>
      </c>
      <c r="G208" t="str">
        <f t="shared" si="16"/>
        <v>202609</v>
      </c>
      <c r="H208" s="5">
        <f t="shared" si="17"/>
        <v>21</v>
      </c>
      <c r="I208">
        <f t="shared" si="18"/>
        <v>4.2</v>
      </c>
    </row>
    <row r="209" spans="1:9">
      <c r="A209" s="3">
        <f t="shared" si="19"/>
        <v>46289</v>
      </c>
      <c r="B209" s="3" t="str">
        <f>TEXT(calendar[[#This Row],[date]], "yymmdd")</f>
        <v>260924</v>
      </c>
      <c r="C209" s="4">
        <f>DATEDIF("1/1/2024", calendar[[#This Row],[date]], "M")</f>
        <v>32</v>
      </c>
      <c r="D209" s="3" t="str">
        <f>TEXT(calendar[[#This Row],[date]], "dd")</f>
        <v>24</v>
      </c>
      <c r="E209" s="1">
        <f>IF(OR(WEEKDAY(calendar[[#This Row],[date]])= 1, WEEKDAY(calendar[[#This Row],[date]])=7), 0, 1)</f>
        <v>1</v>
      </c>
      <c r="F209">
        <f t="shared" si="15"/>
        <v>39</v>
      </c>
      <c r="G209" t="str">
        <f t="shared" si="16"/>
        <v>202609</v>
      </c>
      <c r="H209" s="5">
        <f t="shared" si="17"/>
        <v>21</v>
      </c>
      <c r="I209">
        <f t="shared" si="18"/>
        <v>4.2</v>
      </c>
    </row>
    <row r="210" spans="1:9">
      <c r="A210" s="3">
        <f t="shared" si="19"/>
        <v>46290</v>
      </c>
      <c r="B210" s="3" t="str">
        <f>TEXT(calendar[[#This Row],[date]], "yymmdd")</f>
        <v>260925</v>
      </c>
      <c r="C210" s="4">
        <f>DATEDIF("1/1/2024", calendar[[#This Row],[date]], "M")</f>
        <v>32</v>
      </c>
      <c r="D210" s="3" t="str">
        <f>TEXT(calendar[[#This Row],[date]], "dd")</f>
        <v>25</v>
      </c>
      <c r="E210" s="1">
        <f>IF(OR(WEEKDAY(calendar[[#This Row],[date]])= 1, WEEKDAY(calendar[[#This Row],[date]])=7), 0, 1)</f>
        <v>1</v>
      </c>
      <c r="F210">
        <f t="shared" si="15"/>
        <v>39</v>
      </c>
      <c r="G210" t="str">
        <f t="shared" si="16"/>
        <v>202609</v>
      </c>
      <c r="H210" s="5">
        <f t="shared" si="17"/>
        <v>21</v>
      </c>
      <c r="I210">
        <f t="shared" si="18"/>
        <v>4.2</v>
      </c>
    </row>
    <row r="211" spans="1:9">
      <c r="A211" s="3">
        <f t="shared" si="19"/>
        <v>46291</v>
      </c>
      <c r="B211" s="3" t="str">
        <f>TEXT(calendar[[#This Row],[date]], "yymmdd")</f>
        <v>260926</v>
      </c>
      <c r="C211" s="4">
        <f>DATEDIF("1/1/2024", calendar[[#This Row],[date]], "M")</f>
        <v>32</v>
      </c>
      <c r="D211" s="3" t="str">
        <f>TEXT(calendar[[#This Row],[date]], "dd")</f>
        <v>26</v>
      </c>
      <c r="E211" s="1">
        <f>IF(OR(WEEKDAY(calendar[[#This Row],[date]])= 1, WEEKDAY(calendar[[#This Row],[date]])=7), 0, 1)</f>
        <v>0</v>
      </c>
      <c r="F211">
        <f t="shared" si="15"/>
        <v>39</v>
      </c>
      <c r="G211" t="str">
        <f t="shared" si="16"/>
        <v>202609</v>
      </c>
      <c r="H211" s="5">
        <f t="shared" si="17"/>
        <v>21</v>
      </c>
      <c r="I211">
        <f t="shared" si="18"/>
        <v>4.2</v>
      </c>
    </row>
    <row r="212" spans="1:9">
      <c r="A212" s="3">
        <f t="shared" si="19"/>
        <v>46292</v>
      </c>
      <c r="B212" s="3" t="str">
        <f>TEXT(calendar[[#This Row],[date]], "yymmdd")</f>
        <v>260927</v>
      </c>
      <c r="C212" s="4">
        <f>DATEDIF("1/1/2024", calendar[[#This Row],[date]], "M")</f>
        <v>32</v>
      </c>
      <c r="D212" s="3" t="str">
        <f>TEXT(calendar[[#This Row],[date]], "dd")</f>
        <v>27</v>
      </c>
      <c r="E212" s="1">
        <f>IF(OR(WEEKDAY(calendar[[#This Row],[date]])= 1, WEEKDAY(calendar[[#This Row],[date]])=7), 0, 1)</f>
        <v>0</v>
      </c>
      <c r="F212">
        <f t="shared" si="15"/>
        <v>39</v>
      </c>
      <c r="G212" t="str">
        <f t="shared" si="16"/>
        <v>202609</v>
      </c>
      <c r="H212" s="5">
        <f t="shared" si="17"/>
        <v>21</v>
      </c>
      <c r="I212">
        <f t="shared" si="18"/>
        <v>4.2</v>
      </c>
    </row>
    <row r="213" spans="1:9">
      <c r="A213" s="3">
        <f t="shared" si="19"/>
        <v>46293</v>
      </c>
      <c r="B213" s="3" t="str">
        <f>TEXT(calendar[[#This Row],[date]], "yymmdd")</f>
        <v>260928</v>
      </c>
      <c r="C213" s="4">
        <f>DATEDIF("1/1/2024", calendar[[#This Row],[date]], "M")</f>
        <v>32</v>
      </c>
      <c r="D213" s="3" t="str">
        <f>TEXT(calendar[[#This Row],[date]], "dd")</f>
        <v>28</v>
      </c>
      <c r="E213" s="1">
        <f>IF(OR(WEEKDAY(calendar[[#This Row],[date]])= 1, WEEKDAY(calendar[[#This Row],[date]])=7), 0, 1)</f>
        <v>1</v>
      </c>
      <c r="F213">
        <f t="shared" si="15"/>
        <v>40</v>
      </c>
      <c r="G213" t="str">
        <f t="shared" si="16"/>
        <v>202609</v>
      </c>
      <c r="H213" s="5">
        <f t="shared" si="17"/>
        <v>21</v>
      </c>
      <c r="I213">
        <f t="shared" si="18"/>
        <v>4.2</v>
      </c>
    </row>
    <row r="214" spans="1:9">
      <c r="A214" s="3">
        <f t="shared" si="19"/>
        <v>46294</v>
      </c>
      <c r="B214" s="3" t="str">
        <f>TEXT(calendar[[#This Row],[date]], "yymmdd")</f>
        <v>260929</v>
      </c>
      <c r="C214" s="4">
        <f>DATEDIF("1/1/2024", calendar[[#This Row],[date]], "M")</f>
        <v>32</v>
      </c>
      <c r="D214" s="3" t="str">
        <f>TEXT(calendar[[#This Row],[date]], "dd")</f>
        <v>29</v>
      </c>
      <c r="E214" s="1">
        <f>IF(OR(WEEKDAY(calendar[[#This Row],[date]])= 1, WEEKDAY(calendar[[#This Row],[date]])=7), 0, 1)</f>
        <v>1</v>
      </c>
      <c r="F214">
        <f t="shared" si="15"/>
        <v>40</v>
      </c>
      <c r="G214" t="str">
        <f t="shared" si="16"/>
        <v>202609</v>
      </c>
      <c r="H214" s="5">
        <f t="shared" si="17"/>
        <v>21</v>
      </c>
      <c r="I214">
        <f t="shared" si="18"/>
        <v>4.2</v>
      </c>
    </row>
    <row r="215" spans="1:9">
      <c r="A215" s="3">
        <f t="shared" si="19"/>
        <v>46295</v>
      </c>
      <c r="B215" s="3" t="str">
        <f>TEXT(calendar[[#This Row],[date]], "yymmdd")</f>
        <v>260930</v>
      </c>
      <c r="C215" s="4">
        <f>DATEDIF("1/1/2024", calendar[[#This Row],[date]], "M")</f>
        <v>32</v>
      </c>
      <c r="D215" s="3" t="str">
        <f>TEXT(calendar[[#This Row],[date]], "dd")</f>
        <v>30</v>
      </c>
      <c r="E215" s="1">
        <f>IF(OR(WEEKDAY(calendar[[#This Row],[date]])= 1, WEEKDAY(calendar[[#This Row],[date]])=7), 0, 1)</f>
        <v>1</v>
      </c>
      <c r="F215">
        <f t="shared" si="15"/>
        <v>40</v>
      </c>
      <c r="G215" t="str">
        <f t="shared" si="16"/>
        <v>202609</v>
      </c>
      <c r="H215" s="5">
        <f t="shared" si="17"/>
        <v>21</v>
      </c>
      <c r="I215">
        <f t="shared" si="18"/>
        <v>4.2</v>
      </c>
    </row>
    <row r="216" spans="1:9">
      <c r="A216" s="3">
        <f t="shared" si="19"/>
        <v>46296</v>
      </c>
      <c r="B216" s="3" t="str">
        <f>TEXT(calendar[[#This Row],[date]], "yymmdd")</f>
        <v>261001</v>
      </c>
      <c r="C216" s="4">
        <f>DATEDIF("1/1/2024", calendar[[#This Row],[date]], "M")</f>
        <v>33</v>
      </c>
      <c r="D216" s="3" t="str">
        <f>TEXT(calendar[[#This Row],[date]], "dd")</f>
        <v>01</v>
      </c>
      <c r="E216" s="1">
        <f>IF(OR(WEEKDAY(calendar[[#This Row],[date]])= 1, WEEKDAY(calendar[[#This Row],[date]])=7), 0, 1)</f>
        <v>1</v>
      </c>
      <c r="F216">
        <f t="shared" si="15"/>
        <v>40</v>
      </c>
      <c r="G216" t="str">
        <f t="shared" si="16"/>
        <v>202610</v>
      </c>
      <c r="H216" s="5">
        <f t="shared" si="17"/>
        <v>22</v>
      </c>
      <c r="I216">
        <f t="shared" si="18"/>
        <v>4.4000000000000004</v>
      </c>
    </row>
    <row r="217" spans="1:9">
      <c r="A217" s="3">
        <f t="shared" si="19"/>
        <v>46297</v>
      </c>
      <c r="B217" s="3" t="str">
        <f>TEXT(calendar[[#This Row],[date]], "yymmdd")</f>
        <v>261002</v>
      </c>
      <c r="C217" s="4">
        <f>DATEDIF("1/1/2024", calendar[[#This Row],[date]], "M")</f>
        <v>33</v>
      </c>
      <c r="D217" s="3" t="str">
        <f>TEXT(calendar[[#This Row],[date]], "dd")</f>
        <v>02</v>
      </c>
      <c r="E217" s="1">
        <f>IF(OR(WEEKDAY(calendar[[#This Row],[date]])= 1, WEEKDAY(calendar[[#This Row],[date]])=7), 0, 1)</f>
        <v>1</v>
      </c>
      <c r="F217">
        <f t="shared" si="15"/>
        <v>40</v>
      </c>
      <c r="G217" t="str">
        <f t="shared" si="16"/>
        <v>202610</v>
      </c>
      <c r="H217" s="5">
        <f t="shared" si="17"/>
        <v>22</v>
      </c>
      <c r="I217">
        <f t="shared" si="18"/>
        <v>4.4000000000000004</v>
      </c>
    </row>
    <row r="218" spans="1:9">
      <c r="A218" s="3">
        <f t="shared" si="19"/>
        <v>46298</v>
      </c>
      <c r="B218" s="3" t="str">
        <f>TEXT(calendar[[#This Row],[date]], "yymmdd")</f>
        <v>261003</v>
      </c>
      <c r="C218" s="4">
        <f>DATEDIF("1/1/2024", calendar[[#This Row],[date]], "M")</f>
        <v>33</v>
      </c>
      <c r="D218" s="3" t="str">
        <f>TEXT(calendar[[#This Row],[date]], "dd")</f>
        <v>03</v>
      </c>
      <c r="E218" s="1">
        <f>IF(OR(WEEKDAY(calendar[[#This Row],[date]])= 1, WEEKDAY(calendar[[#This Row],[date]])=7), 0, 1)</f>
        <v>0</v>
      </c>
      <c r="F218">
        <f t="shared" si="15"/>
        <v>40</v>
      </c>
      <c r="G218" t="str">
        <f t="shared" si="16"/>
        <v>202610</v>
      </c>
      <c r="H218" s="5">
        <f t="shared" si="17"/>
        <v>22</v>
      </c>
      <c r="I218">
        <f t="shared" si="18"/>
        <v>4.4000000000000004</v>
      </c>
    </row>
    <row r="219" spans="1:9">
      <c r="A219" s="3">
        <f t="shared" si="19"/>
        <v>46299</v>
      </c>
      <c r="B219" s="3" t="str">
        <f>TEXT(calendar[[#This Row],[date]], "yymmdd")</f>
        <v>261004</v>
      </c>
      <c r="C219" s="4">
        <f>DATEDIF("1/1/2024", calendar[[#This Row],[date]], "M")</f>
        <v>33</v>
      </c>
      <c r="D219" s="3" t="str">
        <f>TEXT(calendar[[#This Row],[date]], "dd")</f>
        <v>04</v>
      </c>
      <c r="E219" s="1">
        <f>IF(OR(WEEKDAY(calendar[[#This Row],[date]])= 1, WEEKDAY(calendar[[#This Row],[date]])=7), 0, 1)</f>
        <v>0</v>
      </c>
      <c r="F219">
        <f t="shared" si="15"/>
        <v>40</v>
      </c>
      <c r="G219" t="str">
        <f t="shared" si="16"/>
        <v>202610</v>
      </c>
      <c r="H219" s="5">
        <f t="shared" si="17"/>
        <v>22</v>
      </c>
      <c r="I219">
        <f t="shared" si="18"/>
        <v>4.4000000000000004</v>
      </c>
    </row>
    <row r="220" spans="1:9">
      <c r="A220" s="3">
        <f t="shared" si="19"/>
        <v>46300</v>
      </c>
      <c r="B220" s="3" t="str">
        <f>TEXT(calendar[[#This Row],[date]], "yymmdd")</f>
        <v>261005</v>
      </c>
      <c r="C220" s="4">
        <f>DATEDIF("1/1/2024", calendar[[#This Row],[date]], "M")</f>
        <v>33</v>
      </c>
      <c r="D220" s="3" t="str">
        <f>TEXT(calendar[[#This Row],[date]], "dd")</f>
        <v>05</v>
      </c>
      <c r="E220" s="1">
        <f>IF(OR(WEEKDAY(calendar[[#This Row],[date]])= 1, WEEKDAY(calendar[[#This Row],[date]])=7), 0, 1)</f>
        <v>1</v>
      </c>
      <c r="F220">
        <f t="shared" si="15"/>
        <v>41</v>
      </c>
      <c r="G220" t="str">
        <f t="shared" si="16"/>
        <v>202610</v>
      </c>
      <c r="H220" s="5">
        <f t="shared" si="17"/>
        <v>22</v>
      </c>
      <c r="I220">
        <f t="shared" si="18"/>
        <v>4.4000000000000004</v>
      </c>
    </row>
    <row r="221" spans="1:9">
      <c r="A221" s="3">
        <f t="shared" si="19"/>
        <v>46301</v>
      </c>
      <c r="B221" s="3" t="str">
        <f>TEXT(calendar[[#This Row],[date]], "yymmdd")</f>
        <v>261006</v>
      </c>
      <c r="C221" s="4">
        <f>DATEDIF("1/1/2024", calendar[[#This Row],[date]], "M")</f>
        <v>33</v>
      </c>
      <c r="D221" s="3" t="str">
        <f>TEXT(calendar[[#This Row],[date]], "dd")</f>
        <v>06</v>
      </c>
      <c r="E221" s="1">
        <f>IF(OR(WEEKDAY(calendar[[#This Row],[date]])= 1, WEEKDAY(calendar[[#This Row],[date]])=7), 0, 1)</f>
        <v>1</v>
      </c>
      <c r="F221">
        <f t="shared" si="15"/>
        <v>41</v>
      </c>
      <c r="G221" t="str">
        <f t="shared" si="16"/>
        <v>202610</v>
      </c>
      <c r="H221" s="5">
        <f t="shared" si="17"/>
        <v>22</v>
      </c>
      <c r="I221">
        <f t="shared" si="18"/>
        <v>4.4000000000000004</v>
      </c>
    </row>
    <row r="222" spans="1:9">
      <c r="A222" s="3">
        <f t="shared" si="19"/>
        <v>46302</v>
      </c>
      <c r="B222" s="3" t="str">
        <f>TEXT(calendar[[#This Row],[date]], "yymmdd")</f>
        <v>261007</v>
      </c>
      <c r="C222" s="4">
        <f>DATEDIF("1/1/2024", calendar[[#This Row],[date]], "M")</f>
        <v>33</v>
      </c>
      <c r="D222" s="3" t="str">
        <f>TEXT(calendar[[#This Row],[date]], "dd")</f>
        <v>07</v>
      </c>
      <c r="E222" s="1">
        <f>IF(OR(WEEKDAY(calendar[[#This Row],[date]])= 1, WEEKDAY(calendar[[#This Row],[date]])=7), 0, 1)</f>
        <v>1</v>
      </c>
      <c r="F222">
        <f t="shared" si="15"/>
        <v>41</v>
      </c>
      <c r="G222" t="str">
        <f t="shared" si="16"/>
        <v>202610</v>
      </c>
      <c r="H222" s="5">
        <f t="shared" si="17"/>
        <v>22</v>
      </c>
      <c r="I222">
        <f t="shared" si="18"/>
        <v>4.4000000000000004</v>
      </c>
    </row>
    <row r="223" spans="1:9">
      <c r="A223" s="3">
        <f t="shared" si="19"/>
        <v>46303</v>
      </c>
      <c r="B223" s="3" t="str">
        <f>TEXT(calendar[[#This Row],[date]], "yymmdd")</f>
        <v>261008</v>
      </c>
      <c r="C223" s="4">
        <f>DATEDIF("1/1/2024", calendar[[#This Row],[date]], "M")</f>
        <v>33</v>
      </c>
      <c r="D223" s="3" t="str">
        <f>TEXT(calendar[[#This Row],[date]], "dd")</f>
        <v>08</v>
      </c>
      <c r="E223" s="1">
        <f>IF(OR(WEEKDAY(calendar[[#This Row],[date]])= 1, WEEKDAY(calendar[[#This Row],[date]])=7), 0, 1)</f>
        <v>1</v>
      </c>
      <c r="F223">
        <f t="shared" si="15"/>
        <v>41</v>
      </c>
      <c r="G223" t="str">
        <f t="shared" si="16"/>
        <v>202610</v>
      </c>
      <c r="H223" s="5">
        <f t="shared" si="17"/>
        <v>22</v>
      </c>
      <c r="I223">
        <f t="shared" si="18"/>
        <v>4.4000000000000004</v>
      </c>
    </row>
    <row r="224" spans="1:9">
      <c r="A224" s="3">
        <f t="shared" si="19"/>
        <v>46304</v>
      </c>
      <c r="B224" s="3" t="str">
        <f>TEXT(calendar[[#This Row],[date]], "yymmdd")</f>
        <v>261009</v>
      </c>
      <c r="C224" s="4">
        <f>DATEDIF("1/1/2024", calendar[[#This Row],[date]], "M")</f>
        <v>33</v>
      </c>
      <c r="D224" s="3" t="str">
        <f>TEXT(calendar[[#This Row],[date]], "dd")</f>
        <v>09</v>
      </c>
      <c r="E224" s="1">
        <f>IF(OR(WEEKDAY(calendar[[#This Row],[date]])= 1, WEEKDAY(calendar[[#This Row],[date]])=7), 0, 1)</f>
        <v>1</v>
      </c>
      <c r="F224">
        <f t="shared" si="15"/>
        <v>41</v>
      </c>
      <c r="G224" t="str">
        <f t="shared" si="16"/>
        <v>202610</v>
      </c>
      <c r="H224" s="5">
        <f t="shared" si="17"/>
        <v>22</v>
      </c>
      <c r="I224">
        <f t="shared" si="18"/>
        <v>4.4000000000000004</v>
      </c>
    </row>
    <row r="225" spans="1:9">
      <c r="A225" s="3">
        <f t="shared" si="19"/>
        <v>46305</v>
      </c>
      <c r="B225" s="3" t="str">
        <f>TEXT(calendar[[#This Row],[date]], "yymmdd")</f>
        <v>261010</v>
      </c>
      <c r="C225" s="4">
        <f>DATEDIF("1/1/2024", calendar[[#This Row],[date]], "M")</f>
        <v>33</v>
      </c>
      <c r="D225" s="3" t="str">
        <f>TEXT(calendar[[#This Row],[date]], "dd")</f>
        <v>10</v>
      </c>
      <c r="E225" s="1">
        <f>IF(OR(WEEKDAY(calendar[[#This Row],[date]])= 1, WEEKDAY(calendar[[#This Row],[date]])=7), 0, 1)</f>
        <v>0</v>
      </c>
      <c r="F225">
        <f t="shared" si="15"/>
        <v>41</v>
      </c>
      <c r="G225" t="str">
        <f t="shared" si="16"/>
        <v>202610</v>
      </c>
      <c r="H225" s="5">
        <f t="shared" si="17"/>
        <v>22</v>
      </c>
      <c r="I225">
        <f t="shared" si="18"/>
        <v>4.4000000000000004</v>
      </c>
    </row>
    <row r="226" spans="1:9">
      <c r="A226" s="3">
        <f t="shared" si="19"/>
        <v>46306</v>
      </c>
      <c r="B226" s="3" t="str">
        <f>TEXT(calendar[[#This Row],[date]], "yymmdd")</f>
        <v>261011</v>
      </c>
      <c r="C226" s="4">
        <f>DATEDIF("1/1/2024", calendar[[#This Row],[date]], "M")</f>
        <v>33</v>
      </c>
      <c r="D226" s="3" t="str">
        <f>TEXT(calendar[[#This Row],[date]], "dd")</f>
        <v>11</v>
      </c>
      <c r="E226" s="1">
        <f>IF(OR(WEEKDAY(calendar[[#This Row],[date]])= 1, WEEKDAY(calendar[[#This Row],[date]])=7), 0, 1)</f>
        <v>0</v>
      </c>
      <c r="F226">
        <f t="shared" si="15"/>
        <v>41</v>
      </c>
      <c r="G226" t="str">
        <f t="shared" si="16"/>
        <v>202610</v>
      </c>
      <c r="H226" s="5">
        <f t="shared" si="17"/>
        <v>22</v>
      </c>
      <c r="I226">
        <f t="shared" si="18"/>
        <v>4.4000000000000004</v>
      </c>
    </row>
    <row r="227" spans="1:9">
      <c r="A227" s="3">
        <f t="shared" si="19"/>
        <v>46307</v>
      </c>
      <c r="B227" s="3" t="str">
        <f>TEXT(calendar[[#This Row],[date]], "yymmdd")</f>
        <v>261012</v>
      </c>
      <c r="C227" s="4">
        <f>DATEDIF("1/1/2024", calendar[[#This Row],[date]], "M")</f>
        <v>33</v>
      </c>
      <c r="D227" s="3" t="str">
        <f>TEXT(calendar[[#This Row],[date]], "dd")</f>
        <v>12</v>
      </c>
      <c r="E227" s="1">
        <f>IF(OR(WEEKDAY(calendar[[#This Row],[date]])= 1, WEEKDAY(calendar[[#This Row],[date]])=7), 0, 1)</f>
        <v>1</v>
      </c>
      <c r="F227">
        <f t="shared" si="15"/>
        <v>42</v>
      </c>
      <c r="G227" t="str">
        <f t="shared" si="16"/>
        <v>202610</v>
      </c>
      <c r="H227" s="5">
        <f t="shared" si="17"/>
        <v>22</v>
      </c>
      <c r="I227">
        <f t="shared" si="18"/>
        <v>4.4000000000000004</v>
      </c>
    </row>
    <row r="228" spans="1:9">
      <c r="A228" s="3">
        <f t="shared" si="19"/>
        <v>46308</v>
      </c>
      <c r="B228" s="3" t="str">
        <f>TEXT(calendar[[#This Row],[date]], "yymmdd")</f>
        <v>261013</v>
      </c>
      <c r="C228" s="4">
        <f>DATEDIF("1/1/2024", calendar[[#This Row],[date]], "M")</f>
        <v>33</v>
      </c>
      <c r="D228" s="3" t="str">
        <f>TEXT(calendar[[#This Row],[date]], "dd")</f>
        <v>13</v>
      </c>
      <c r="E228" s="1">
        <f>IF(OR(WEEKDAY(calendar[[#This Row],[date]])= 1, WEEKDAY(calendar[[#This Row],[date]])=7), 0, 1)</f>
        <v>1</v>
      </c>
      <c r="F228">
        <f t="shared" si="15"/>
        <v>42</v>
      </c>
      <c r="G228" t="str">
        <f t="shared" si="16"/>
        <v>202610</v>
      </c>
      <c r="H228" s="5">
        <f t="shared" si="17"/>
        <v>22</v>
      </c>
      <c r="I228">
        <f t="shared" si="18"/>
        <v>4.4000000000000004</v>
      </c>
    </row>
    <row r="229" spans="1:9">
      <c r="A229" s="3">
        <f t="shared" si="19"/>
        <v>46309</v>
      </c>
      <c r="B229" s="3" t="str">
        <f>TEXT(calendar[[#This Row],[date]], "yymmdd")</f>
        <v>261014</v>
      </c>
      <c r="C229" s="4">
        <f>DATEDIF("1/1/2024", calendar[[#This Row],[date]], "M")</f>
        <v>33</v>
      </c>
      <c r="D229" s="3" t="str">
        <f>TEXT(calendar[[#This Row],[date]], "dd")</f>
        <v>14</v>
      </c>
      <c r="E229" s="1">
        <f>IF(OR(WEEKDAY(calendar[[#This Row],[date]])= 1, WEEKDAY(calendar[[#This Row],[date]])=7), 0, 1)</f>
        <v>1</v>
      </c>
      <c r="F229">
        <f t="shared" si="15"/>
        <v>42</v>
      </c>
      <c r="G229" t="str">
        <f t="shared" si="16"/>
        <v>202610</v>
      </c>
      <c r="H229" s="5">
        <f t="shared" si="17"/>
        <v>22</v>
      </c>
      <c r="I229">
        <f t="shared" si="18"/>
        <v>4.4000000000000004</v>
      </c>
    </row>
    <row r="230" spans="1:9">
      <c r="A230" s="3">
        <f t="shared" si="19"/>
        <v>46310</v>
      </c>
      <c r="B230" s="3" t="str">
        <f>TEXT(calendar[[#This Row],[date]], "yymmdd")</f>
        <v>261015</v>
      </c>
      <c r="C230" s="4">
        <f>DATEDIF("1/1/2024", calendar[[#This Row],[date]], "M")</f>
        <v>33</v>
      </c>
      <c r="D230" s="3" t="str">
        <f>TEXT(calendar[[#This Row],[date]], "dd")</f>
        <v>15</v>
      </c>
      <c r="E230" s="1">
        <f>IF(OR(WEEKDAY(calendar[[#This Row],[date]])= 1, WEEKDAY(calendar[[#This Row],[date]])=7), 0, 1)</f>
        <v>1</v>
      </c>
      <c r="F230">
        <f t="shared" si="15"/>
        <v>42</v>
      </c>
      <c r="G230" t="str">
        <f t="shared" si="16"/>
        <v>202610</v>
      </c>
      <c r="H230" s="5">
        <f t="shared" si="17"/>
        <v>22</v>
      </c>
      <c r="I230">
        <f t="shared" si="18"/>
        <v>4.4000000000000004</v>
      </c>
    </row>
    <row r="231" spans="1:9">
      <c r="A231" s="3">
        <f t="shared" si="19"/>
        <v>46311</v>
      </c>
      <c r="B231" s="3" t="str">
        <f>TEXT(calendar[[#This Row],[date]], "yymmdd")</f>
        <v>261016</v>
      </c>
      <c r="C231" s="4">
        <f>DATEDIF("1/1/2024", calendar[[#This Row],[date]], "M")</f>
        <v>33</v>
      </c>
      <c r="D231" s="3" t="str">
        <f>TEXT(calendar[[#This Row],[date]], "dd")</f>
        <v>16</v>
      </c>
      <c r="E231" s="1">
        <f>IF(OR(WEEKDAY(calendar[[#This Row],[date]])= 1, WEEKDAY(calendar[[#This Row],[date]])=7), 0, 1)</f>
        <v>1</v>
      </c>
      <c r="F231">
        <f t="shared" si="15"/>
        <v>42</v>
      </c>
      <c r="G231" t="str">
        <f t="shared" si="16"/>
        <v>202610</v>
      </c>
      <c r="H231" s="5">
        <f t="shared" si="17"/>
        <v>22</v>
      </c>
      <c r="I231">
        <f t="shared" si="18"/>
        <v>4.4000000000000004</v>
      </c>
    </row>
    <row r="232" spans="1:9">
      <c r="A232" s="3">
        <f t="shared" si="19"/>
        <v>46312</v>
      </c>
      <c r="B232" s="3" t="str">
        <f>TEXT(calendar[[#This Row],[date]], "yymmdd")</f>
        <v>261017</v>
      </c>
      <c r="C232" s="4">
        <f>DATEDIF("1/1/2024", calendar[[#This Row],[date]], "M")</f>
        <v>33</v>
      </c>
      <c r="D232" s="3" t="str">
        <f>TEXT(calendar[[#This Row],[date]], "dd")</f>
        <v>17</v>
      </c>
      <c r="E232" s="1">
        <f>IF(OR(WEEKDAY(calendar[[#This Row],[date]])= 1, WEEKDAY(calendar[[#This Row],[date]])=7), 0, 1)</f>
        <v>0</v>
      </c>
      <c r="F232">
        <f t="shared" si="15"/>
        <v>42</v>
      </c>
      <c r="G232" t="str">
        <f t="shared" si="16"/>
        <v>202610</v>
      </c>
      <c r="H232" s="5">
        <f t="shared" si="17"/>
        <v>22</v>
      </c>
      <c r="I232">
        <f t="shared" si="18"/>
        <v>4.4000000000000004</v>
      </c>
    </row>
    <row r="233" spans="1:9">
      <c r="A233" s="3">
        <f t="shared" si="19"/>
        <v>46313</v>
      </c>
      <c r="B233" s="3" t="str">
        <f>TEXT(calendar[[#This Row],[date]], "yymmdd")</f>
        <v>261018</v>
      </c>
      <c r="C233" s="4">
        <f>DATEDIF("1/1/2024", calendar[[#This Row],[date]], "M")</f>
        <v>33</v>
      </c>
      <c r="D233" s="3" t="str">
        <f>TEXT(calendar[[#This Row],[date]], "dd")</f>
        <v>18</v>
      </c>
      <c r="E233" s="1">
        <f>IF(OR(WEEKDAY(calendar[[#This Row],[date]])= 1, WEEKDAY(calendar[[#This Row],[date]])=7), 0, 1)</f>
        <v>0</v>
      </c>
      <c r="F233">
        <f t="shared" si="15"/>
        <v>42</v>
      </c>
      <c r="G233" t="str">
        <f t="shared" si="16"/>
        <v>202610</v>
      </c>
      <c r="H233" s="5">
        <f t="shared" si="17"/>
        <v>22</v>
      </c>
      <c r="I233">
        <f t="shared" si="18"/>
        <v>4.4000000000000004</v>
      </c>
    </row>
    <row r="234" spans="1:9">
      <c r="A234" s="3">
        <f t="shared" si="19"/>
        <v>46314</v>
      </c>
      <c r="B234" s="3" t="str">
        <f>TEXT(calendar[[#This Row],[date]], "yymmdd")</f>
        <v>261019</v>
      </c>
      <c r="C234" s="4">
        <f>DATEDIF("1/1/2024", calendar[[#This Row],[date]], "M")</f>
        <v>33</v>
      </c>
      <c r="D234" s="3" t="str">
        <f>TEXT(calendar[[#This Row],[date]], "dd")</f>
        <v>19</v>
      </c>
      <c r="E234" s="1">
        <f>IF(OR(WEEKDAY(calendar[[#This Row],[date]])= 1, WEEKDAY(calendar[[#This Row],[date]])=7), 0, 1)</f>
        <v>1</v>
      </c>
      <c r="F234">
        <f t="shared" si="15"/>
        <v>43</v>
      </c>
      <c r="G234" t="str">
        <f t="shared" si="16"/>
        <v>202610</v>
      </c>
      <c r="H234" s="5">
        <f t="shared" si="17"/>
        <v>22</v>
      </c>
      <c r="I234">
        <f t="shared" si="18"/>
        <v>4.4000000000000004</v>
      </c>
    </row>
    <row r="235" spans="1:9">
      <c r="A235" s="3">
        <f t="shared" si="19"/>
        <v>46315</v>
      </c>
      <c r="B235" s="3" t="str">
        <f>TEXT(calendar[[#This Row],[date]], "yymmdd")</f>
        <v>261020</v>
      </c>
      <c r="C235" s="4">
        <f>DATEDIF("1/1/2024", calendar[[#This Row],[date]], "M")</f>
        <v>33</v>
      </c>
      <c r="D235" s="3" t="str">
        <f>TEXT(calendar[[#This Row],[date]], "dd")</f>
        <v>20</v>
      </c>
      <c r="E235" s="1">
        <f>IF(OR(WEEKDAY(calendar[[#This Row],[date]])= 1, WEEKDAY(calendar[[#This Row],[date]])=7), 0, 1)</f>
        <v>1</v>
      </c>
      <c r="F235">
        <f t="shared" si="15"/>
        <v>43</v>
      </c>
      <c r="G235" t="str">
        <f t="shared" si="16"/>
        <v>202610</v>
      </c>
      <c r="H235" s="5">
        <f t="shared" si="17"/>
        <v>22</v>
      </c>
      <c r="I235">
        <f t="shared" si="18"/>
        <v>4.4000000000000004</v>
      </c>
    </row>
    <row r="236" spans="1:9">
      <c r="A236" s="3">
        <f t="shared" si="19"/>
        <v>46316</v>
      </c>
      <c r="B236" s="3" t="str">
        <f>TEXT(calendar[[#This Row],[date]], "yymmdd")</f>
        <v>261021</v>
      </c>
      <c r="C236" s="4">
        <f>DATEDIF("1/1/2024", calendar[[#This Row],[date]], "M")</f>
        <v>33</v>
      </c>
      <c r="D236" s="3" t="str">
        <f>TEXT(calendar[[#This Row],[date]], "dd")</f>
        <v>21</v>
      </c>
      <c r="E236" s="1">
        <f>IF(OR(WEEKDAY(calendar[[#This Row],[date]])= 1, WEEKDAY(calendar[[#This Row],[date]])=7), 0, 1)</f>
        <v>1</v>
      </c>
      <c r="F236">
        <f t="shared" si="15"/>
        <v>43</v>
      </c>
      <c r="G236" t="str">
        <f t="shared" si="16"/>
        <v>202610</v>
      </c>
      <c r="H236" s="5">
        <f t="shared" si="17"/>
        <v>22</v>
      </c>
      <c r="I236">
        <f t="shared" si="18"/>
        <v>4.4000000000000004</v>
      </c>
    </row>
    <row r="237" spans="1:9">
      <c r="A237" s="3">
        <f t="shared" si="19"/>
        <v>46317</v>
      </c>
      <c r="B237" s="3" t="str">
        <f>TEXT(calendar[[#This Row],[date]], "yymmdd")</f>
        <v>261022</v>
      </c>
      <c r="C237" s="4">
        <f>DATEDIF("1/1/2024", calendar[[#This Row],[date]], "M")</f>
        <v>33</v>
      </c>
      <c r="D237" s="3" t="str">
        <f>TEXT(calendar[[#This Row],[date]], "dd")</f>
        <v>22</v>
      </c>
      <c r="E237" s="1">
        <f>IF(OR(WEEKDAY(calendar[[#This Row],[date]])= 1, WEEKDAY(calendar[[#This Row],[date]])=7), 0, 1)</f>
        <v>1</v>
      </c>
      <c r="F237">
        <f t="shared" si="15"/>
        <v>43</v>
      </c>
      <c r="G237" t="str">
        <f t="shared" si="16"/>
        <v>202610</v>
      </c>
      <c r="H237" s="5">
        <f t="shared" si="17"/>
        <v>22</v>
      </c>
      <c r="I237">
        <f t="shared" si="18"/>
        <v>4.4000000000000004</v>
      </c>
    </row>
    <row r="238" spans="1:9">
      <c r="A238" s="3">
        <f t="shared" si="19"/>
        <v>46318</v>
      </c>
      <c r="B238" s="3" t="str">
        <f>TEXT(calendar[[#This Row],[date]], "yymmdd")</f>
        <v>261023</v>
      </c>
      <c r="C238" s="4">
        <f>DATEDIF("1/1/2024", calendar[[#This Row],[date]], "M")</f>
        <v>33</v>
      </c>
      <c r="D238" s="3" t="str">
        <f>TEXT(calendar[[#This Row],[date]], "dd")</f>
        <v>23</v>
      </c>
      <c r="E238" s="1">
        <f>IF(OR(WEEKDAY(calendar[[#This Row],[date]])= 1, WEEKDAY(calendar[[#This Row],[date]])=7), 0, 1)</f>
        <v>1</v>
      </c>
      <c r="F238">
        <f t="shared" si="15"/>
        <v>43</v>
      </c>
      <c r="G238" t="str">
        <f t="shared" si="16"/>
        <v>202610</v>
      </c>
      <c r="H238" s="5">
        <f t="shared" si="17"/>
        <v>22</v>
      </c>
      <c r="I238">
        <f t="shared" si="18"/>
        <v>4.4000000000000004</v>
      </c>
    </row>
    <row r="239" spans="1:9">
      <c r="A239" s="3">
        <f t="shared" si="19"/>
        <v>46319</v>
      </c>
      <c r="B239" s="3" t="str">
        <f>TEXT(calendar[[#This Row],[date]], "yymmdd")</f>
        <v>261024</v>
      </c>
      <c r="C239" s="4">
        <f>DATEDIF("1/1/2024", calendar[[#This Row],[date]], "M")</f>
        <v>33</v>
      </c>
      <c r="D239" s="3" t="str">
        <f>TEXT(calendar[[#This Row],[date]], "dd")</f>
        <v>24</v>
      </c>
      <c r="E239" s="1">
        <f>IF(OR(WEEKDAY(calendar[[#This Row],[date]])= 1, WEEKDAY(calendar[[#This Row],[date]])=7), 0, 1)</f>
        <v>0</v>
      </c>
      <c r="F239">
        <f t="shared" si="15"/>
        <v>43</v>
      </c>
      <c r="G239" t="str">
        <f t="shared" si="16"/>
        <v>202610</v>
      </c>
      <c r="H239" s="5">
        <f t="shared" si="17"/>
        <v>22</v>
      </c>
      <c r="I239">
        <f t="shared" si="18"/>
        <v>4.4000000000000004</v>
      </c>
    </row>
    <row r="240" spans="1:9">
      <c r="A240" s="3">
        <f t="shared" si="19"/>
        <v>46320</v>
      </c>
      <c r="B240" s="3" t="str">
        <f>TEXT(calendar[[#This Row],[date]], "yymmdd")</f>
        <v>261025</v>
      </c>
      <c r="C240" s="4">
        <f>DATEDIF("1/1/2024", calendar[[#This Row],[date]], "M")</f>
        <v>33</v>
      </c>
      <c r="D240" s="3" t="str">
        <f>TEXT(calendar[[#This Row],[date]], "dd")</f>
        <v>25</v>
      </c>
      <c r="E240" s="1">
        <f>IF(OR(WEEKDAY(calendar[[#This Row],[date]])= 1, WEEKDAY(calendar[[#This Row],[date]])=7), 0, 1)</f>
        <v>0</v>
      </c>
      <c r="F240">
        <f t="shared" si="15"/>
        <v>43</v>
      </c>
      <c r="G240" t="str">
        <f t="shared" si="16"/>
        <v>202610</v>
      </c>
      <c r="H240" s="5">
        <f t="shared" si="17"/>
        <v>22</v>
      </c>
      <c r="I240">
        <f t="shared" si="18"/>
        <v>4.4000000000000004</v>
      </c>
    </row>
    <row r="241" spans="1:9">
      <c r="A241" s="3">
        <f t="shared" si="19"/>
        <v>46321</v>
      </c>
      <c r="B241" s="3" t="str">
        <f>TEXT(calendar[[#This Row],[date]], "yymmdd")</f>
        <v>261026</v>
      </c>
      <c r="C241" s="4">
        <f>DATEDIF("1/1/2024", calendar[[#This Row],[date]], "M")</f>
        <v>33</v>
      </c>
      <c r="D241" s="3" t="str">
        <f>TEXT(calendar[[#This Row],[date]], "dd")</f>
        <v>26</v>
      </c>
      <c r="E241" s="1">
        <f>IF(OR(WEEKDAY(calendar[[#This Row],[date]])= 1, WEEKDAY(calendar[[#This Row],[date]])=7), 0, 1)</f>
        <v>1</v>
      </c>
      <c r="F241">
        <f t="shared" si="15"/>
        <v>44</v>
      </c>
      <c r="G241" t="str">
        <f t="shared" si="16"/>
        <v>202610</v>
      </c>
      <c r="H241" s="5">
        <f t="shared" si="17"/>
        <v>22</v>
      </c>
      <c r="I241">
        <f t="shared" si="18"/>
        <v>4.4000000000000004</v>
      </c>
    </row>
    <row r="242" spans="1:9">
      <c r="A242" s="3">
        <f t="shared" si="19"/>
        <v>46322</v>
      </c>
      <c r="B242" s="3" t="str">
        <f>TEXT(calendar[[#This Row],[date]], "yymmdd")</f>
        <v>261027</v>
      </c>
      <c r="C242" s="4">
        <f>DATEDIF("1/1/2024", calendar[[#This Row],[date]], "M")</f>
        <v>33</v>
      </c>
      <c r="D242" s="3" t="str">
        <f>TEXT(calendar[[#This Row],[date]], "dd")</f>
        <v>27</v>
      </c>
      <c r="E242" s="1">
        <f>IF(OR(WEEKDAY(calendar[[#This Row],[date]])= 1, WEEKDAY(calendar[[#This Row],[date]])=7), 0, 1)</f>
        <v>1</v>
      </c>
      <c r="F242">
        <f t="shared" si="15"/>
        <v>44</v>
      </c>
      <c r="G242" t="str">
        <f t="shared" si="16"/>
        <v>202610</v>
      </c>
      <c r="H242" s="5">
        <f t="shared" si="17"/>
        <v>22</v>
      </c>
      <c r="I242">
        <f t="shared" si="18"/>
        <v>4.4000000000000004</v>
      </c>
    </row>
    <row r="243" spans="1:9">
      <c r="A243" s="3">
        <f t="shared" si="19"/>
        <v>46323</v>
      </c>
      <c r="B243" s="3" t="str">
        <f>TEXT(calendar[[#This Row],[date]], "yymmdd")</f>
        <v>261028</v>
      </c>
      <c r="C243" s="4">
        <f>DATEDIF("1/1/2024", calendar[[#This Row],[date]], "M")</f>
        <v>33</v>
      </c>
      <c r="D243" s="3" t="str">
        <f>TEXT(calendar[[#This Row],[date]], "dd")</f>
        <v>28</v>
      </c>
      <c r="E243" s="1">
        <f>IF(OR(WEEKDAY(calendar[[#This Row],[date]])= 1, WEEKDAY(calendar[[#This Row],[date]])=7), 0, 1)</f>
        <v>1</v>
      </c>
      <c r="F243">
        <f t="shared" si="15"/>
        <v>44</v>
      </c>
      <c r="G243" t="str">
        <f t="shared" si="16"/>
        <v>202610</v>
      </c>
      <c r="H243" s="5">
        <f t="shared" si="17"/>
        <v>22</v>
      </c>
      <c r="I243">
        <f t="shared" si="18"/>
        <v>4.4000000000000004</v>
      </c>
    </row>
    <row r="244" spans="1:9">
      <c r="A244" s="3">
        <f t="shared" si="19"/>
        <v>46324</v>
      </c>
      <c r="B244" s="3" t="str">
        <f>TEXT(calendar[[#This Row],[date]], "yymmdd")</f>
        <v>261029</v>
      </c>
      <c r="C244" s="4">
        <f>DATEDIF("1/1/2024", calendar[[#This Row],[date]], "M")</f>
        <v>33</v>
      </c>
      <c r="D244" s="3" t="str">
        <f>TEXT(calendar[[#This Row],[date]], "dd")</f>
        <v>29</v>
      </c>
      <c r="E244" s="1">
        <f>IF(OR(WEEKDAY(calendar[[#This Row],[date]])= 1, WEEKDAY(calendar[[#This Row],[date]])=7), 0, 1)</f>
        <v>1</v>
      </c>
      <c r="F244">
        <f t="shared" si="15"/>
        <v>44</v>
      </c>
      <c r="G244" t="str">
        <f t="shared" si="16"/>
        <v>202610</v>
      </c>
      <c r="H244" s="5">
        <f t="shared" si="17"/>
        <v>22</v>
      </c>
      <c r="I244">
        <f t="shared" si="18"/>
        <v>4.4000000000000004</v>
      </c>
    </row>
    <row r="245" spans="1:9">
      <c r="A245" s="3">
        <f t="shared" si="19"/>
        <v>46325</v>
      </c>
      <c r="B245" s="3" t="str">
        <f>TEXT(calendar[[#This Row],[date]], "yymmdd")</f>
        <v>261030</v>
      </c>
      <c r="C245" s="4">
        <f>DATEDIF("1/1/2024", calendar[[#This Row],[date]], "M")</f>
        <v>33</v>
      </c>
      <c r="D245" s="3" t="str">
        <f>TEXT(calendar[[#This Row],[date]], "dd")</f>
        <v>30</v>
      </c>
      <c r="E245" s="1">
        <f>IF(OR(WEEKDAY(calendar[[#This Row],[date]])= 1, WEEKDAY(calendar[[#This Row],[date]])=7), 0, 1)</f>
        <v>1</v>
      </c>
      <c r="F245">
        <f t="shared" si="15"/>
        <v>44</v>
      </c>
      <c r="G245" t="str">
        <f t="shared" si="16"/>
        <v>202610</v>
      </c>
      <c r="H245" s="5">
        <f t="shared" si="17"/>
        <v>22</v>
      </c>
      <c r="I245">
        <f t="shared" si="18"/>
        <v>4.4000000000000004</v>
      </c>
    </row>
    <row r="246" spans="1:9">
      <c r="A246" s="3">
        <f t="shared" si="19"/>
        <v>46326</v>
      </c>
      <c r="B246" s="3" t="str">
        <f>TEXT(calendar[[#This Row],[date]], "yymmdd")</f>
        <v>261031</v>
      </c>
      <c r="C246" s="4">
        <f>DATEDIF("1/1/2024", calendar[[#This Row],[date]], "M")</f>
        <v>33</v>
      </c>
      <c r="D246" s="3" t="str">
        <f>TEXT(calendar[[#This Row],[date]], "dd")</f>
        <v>31</v>
      </c>
      <c r="E246" s="1">
        <f>IF(OR(WEEKDAY(calendar[[#This Row],[date]])= 1, WEEKDAY(calendar[[#This Row],[date]])=7), 0, 1)</f>
        <v>0</v>
      </c>
      <c r="F246">
        <f t="shared" si="15"/>
        <v>44</v>
      </c>
      <c r="G246" t="str">
        <f t="shared" si="16"/>
        <v>202610</v>
      </c>
      <c r="H246" s="5">
        <f t="shared" si="17"/>
        <v>22</v>
      </c>
      <c r="I246">
        <f t="shared" si="18"/>
        <v>4.4000000000000004</v>
      </c>
    </row>
    <row r="247" spans="1:9">
      <c r="A247" s="3">
        <f t="shared" si="19"/>
        <v>46327</v>
      </c>
      <c r="B247" s="3" t="str">
        <f>TEXT(calendar[[#This Row],[date]], "yymmdd")</f>
        <v>261101</v>
      </c>
      <c r="C247" s="4">
        <f>DATEDIF("1/1/2024", calendar[[#This Row],[date]], "M")</f>
        <v>34</v>
      </c>
      <c r="D247" s="3" t="str">
        <f>TEXT(calendar[[#This Row],[date]], "dd")</f>
        <v>01</v>
      </c>
      <c r="E247" s="1">
        <f>IF(OR(WEEKDAY(calendar[[#This Row],[date]])= 1, WEEKDAY(calendar[[#This Row],[date]])=7), 0, 1)</f>
        <v>0</v>
      </c>
      <c r="F247">
        <f t="shared" si="15"/>
        <v>44</v>
      </c>
      <c r="G247" t="str">
        <f t="shared" si="16"/>
        <v>202611</v>
      </c>
      <c r="H247" s="5">
        <f t="shared" si="17"/>
        <v>19</v>
      </c>
      <c r="I247">
        <f t="shared" si="18"/>
        <v>3.8</v>
      </c>
    </row>
    <row r="248" spans="1:9">
      <c r="A248" s="3">
        <f t="shared" si="19"/>
        <v>46328</v>
      </c>
      <c r="B248" s="3" t="str">
        <f>TEXT(calendar[[#This Row],[date]], "yymmdd")</f>
        <v>261102</v>
      </c>
      <c r="C248" s="4">
        <f>DATEDIF("1/1/2024", calendar[[#This Row],[date]], "M")</f>
        <v>34</v>
      </c>
      <c r="D248" s="3" t="str">
        <f>TEXT(calendar[[#This Row],[date]], "dd")</f>
        <v>02</v>
      </c>
      <c r="E248" s="1">
        <f>IF(OR(WEEKDAY(calendar[[#This Row],[date]])= 1, WEEKDAY(calendar[[#This Row],[date]])=7), 0, 1)</f>
        <v>1</v>
      </c>
      <c r="F248">
        <f t="shared" si="15"/>
        <v>45</v>
      </c>
      <c r="G248" t="str">
        <f t="shared" si="16"/>
        <v>202611</v>
      </c>
      <c r="H248" s="5">
        <f t="shared" si="17"/>
        <v>19</v>
      </c>
      <c r="I248">
        <f t="shared" si="18"/>
        <v>3.8</v>
      </c>
    </row>
    <row r="249" spans="1:9">
      <c r="A249" s="3">
        <f t="shared" si="19"/>
        <v>46329</v>
      </c>
      <c r="B249" s="3" t="str">
        <f>TEXT(calendar[[#This Row],[date]], "yymmdd")</f>
        <v>261103</v>
      </c>
      <c r="C249" s="4">
        <f>DATEDIF("1/1/2024", calendar[[#This Row],[date]], "M")</f>
        <v>34</v>
      </c>
      <c r="D249" s="3" t="str">
        <f>TEXT(calendar[[#This Row],[date]], "dd")</f>
        <v>03</v>
      </c>
      <c r="E249" s="1">
        <f>IF(OR(WEEKDAY(calendar[[#This Row],[date]])= 1, WEEKDAY(calendar[[#This Row],[date]])=7), 0, 1)</f>
        <v>1</v>
      </c>
      <c r="F249">
        <f t="shared" si="15"/>
        <v>45</v>
      </c>
      <c r="G249" t="str">
        <f t="shared" si="16"/>
        <v>202611</v>
      </c>
      <c r="H249" s="5">
        <f t="shared" si="17"/>
        <v>19</v>
      </c>
      <c r="I249">
        <f t="shared" si="18"/>
        <v>3.8</v>
      </c>
    </row>
    <row r="250" spans="1:9">
      <c r="A250" s="3">
        <f t="shared" si="19"/>
        <v>46330</v>
      </c>
      <c r="B250" s="3" t="str">
        <f>TEXT(calendar[[#This Row],[date]], "yymmdd")</f>
        <v>261104</v>
      </c>
      <c r="C250" s="4">
        <f>DATEDIF("1/1/2024", calendar[[#This Row],[date]], "M")</f>
        <v>34</v>
      </c>
      <c r="D250" s="3" t="str">
        <f>TEXT(calendar[[#This Row],[date]], "dd")</f>
        <v>04</v>
      </c>
      <c r="E250" s="1">
        <f>IF(OR(WEEKDAY(calendar[[#This Row],[date]])= 1, WEEKDAY(calendar[[#This Row],[date]])=7), 0, 1)</f>
        <v>1</v>
      </c>
      <c r="F250">
        <f t="shared" si="15"/>
        <v>45</v>
      </c>
      <c r="G250" t="str">
        <f t="shared" si="16"/>
        <v>202611</v>
      </c>
      <c r="H250" s="5">
        <f t="shared" si="17"/>
        <v>19</v>
      </c>
      <c r="I250">
        <f t="shared" si="18"/>
        <v>3.8</v>
      </c>
    </row>
    <row r="251" spans="1:9">
      <c r="A251" s="3">
        <f t="shared" si="19"/>
        <v>46331</v>
      </c>
      <c r="B251" s="3" t="str">
        <f>TEXT(calendar[[#This Row],[date]], "yymmdd")</f>
        <v>261105</v>
      </c>
      <c r="C251" s="4">
        <f>DATEDIF("1/1/2024", calendar[[#This Row],[date]], "M")</f>
        <v>34</v>
      </c>
      <c r="D251" s="3" t="str">
        <f>TEXT(calendar[[#This Row],[date]], "dd")</f>
        <v>05</v>
      </c>
      <c r="E251" s="1">
        <f>IF(OR(WEEKDAY(calendar[[#This Row],[date]])= 1, WEEKDAY(calendar[[#This Row],[date]])=7), 0, 1)</f>
        <v>1</v>
      </c>
      <c r="F251">
        <f t="shared" si="15"/>
        <v>45</v>
      </c>
      <c r="G251" t="str">
        <f t="shared" si="16"/>
        <v>202611</v>
      </c>
      <c r="H251" s="5">
        <f t="shared" si="17"/>
        <v>19</v>
      </c>
      <c r="I251">
        <f t="shared" si="18"/>
        <v>3.8</v>
      </c>
    </row>
    <row r="252" spans="1:9">
      <c r="A252" s="3">
        <f t="shared" si="19"/>
        <v>46332</v>
      </c>
      <c r="B252" s="3" t="str">
        <f>TEXT(calendar[[#This Row],[date]], "yymmdd")</f>
        <v>261106</v>
      </c>
      <c r="C252" s="4">
        <f>DATEDIF("1/1/2024", calendar[[#This Row],[date]], "M")</f>
        <v>34</v>
      </c>
      <c r="D252" s="3" t="str">
        <f>TEXT(calendar[[#This Row],[date]], "dd")</f>
        <v>06</v>
      </c>
      <c r="E252" s="1">
        <f>IF(OR(WEEKDAY(calendar[[#This Row],[date]])= 1, WEEKDAY(calendar[[#This Row],[date]])=7), 0, 1)</f>
        <v>1</v>
      </c>
      <c r="F252">
        <f t="shared" si="15"/>
        <v>45</v>
      </c>
      <c r="G252" t="str">
        <f t="shared" si="16"/>
        <v>202611</v>
      </c>
      <c r="H252" s="5">
        <f t="shared" si="17"/>
        <v>19</v>
      </c>
      <c r="I252">
        <f t="shared" si="18"/>
        <v>3.8</v>
      </c>
    </row>
    <row r="253" spans="1:9">
      <c r="A253" s="3">
        <f t="shared" si="19"/>
        <v>46333</v>
      </c>
      <c r="B253" s="3" t="str">
        <f>TEXT(calendar[[#This Row],[date]], "yymmdd")</f>
        <v>261107</v>
      </c>
      <c r="C253" s="4">
        <f>DATEDIF("1/1/2024", calendar[[#This Row],[date]], "M")</f>
        <v>34</v>
      </c>
      <c r="D253" s="3" t="str">
        <f>TEXT(calendar[[#This Row],[date]], "dd")</f>
        <v>07</v>
      </c>
      <c r="E253" s="1">
        <f>IF(OR(WEEKDAY(calendar[[#This Row],[date]])= 1, WEEKDAY(calendar[[#This Row],[date]])=7), 0, 1)</f>
        <v>0</v>
      </c>
      <c r="F253">
        <f t="shared" si="15"/>
        <v>45</v>
      </c>
      <c r="G253" t="str">
        <f t="shared" si="16"/>
        <v>202611</v>
      </c>
      <c r="H253" s="5">
        <f t="shared" si="17"/>
        <v>19</v>
      </c>
      <c r="I253">
        <f t="shared" si="18"/>
        <v>3.8</v>
      </c>
    </row>
    <row r="254" spans="1:9">
      <c r="A254" s="3">
        <f t="shared" si="19"/>
        <v>46334</v>
      </c>
      <c r="B254" s="3" t="str">
        <f>TEXT(calendar[[#This Row],[date]], "yymmdd")</f>
        <v>261108</v>
      </c>
      <c r="C254" s="4">
        <f>DATEDIF("1/1/2024", calendar[[#This Row],[date]], "M")</f>
        <v>34</v>
      </c>
      <c r="D254" s="3" t="str">
        <f>TEXT(calendar[[#This Row],[date]], "dd")</f>
        <v>08</v>
      </c>
      <c r="E254" s="1">
        <f>IF(OR(WEEKDAY(calendar[[#This Row],[date]])= 1, WEEKDAY(calendar[[#This Row],[date]])=7), 0, 1)</f>
        <v>0</v>
      </c>
      <c r="F254">
        <f t="shared" si="15"/>
        <v>45</v>
      </c>
      <c r="G254" t="str">
        <f t="shared" si="16"/>
        <v>202611</v>
      </c>
      <c r="H254" s="5">
        <f t="shared" si="17"/>
        <v>19</v>
      </c>
      <c r="I254">
        <f t="shared" si="18"/>
        <v>3.8</v>
      </c>
    </row>
    <row r="255" spans="1:9">
      <c r="A255" s="3">
        <f t="shared" si="19"/>
        <v>46335</v>
      </c>
      <c r="B255" s="3" t="str">
        <f>TEXT(calendar[[#This Row],[date]], "yymmdd")</f>
        <v>261109</v>
      </c>
      <c r="C255" s="4">
        <f>DATEDIF("1/1/2024", calendar[[#This Row],[date]], "M")</f>
        <v>34</v>
      </c>
      <c r="D255" s="3" t="str">
        <f>TEXT(calendar[[#This Row],[date]], "dd")</f>
        <v>09</v>
      </c>
      <c r="E255" s="1">
        <f>IF(OR(WEEKDAY(calendar[[#This Row],[date]])= 1, WEEKDAY(calendar[[#This Row],[date]])=7), 0, 1)</f>
        <v>1</v>
      </c>
      <c r="F255">
        <f t="shared" si="15"/>
        <v>46</v>
      </c>
      <c r="G255" t="str">
        <f t="shared" si="16"/>
        <v>202611</v>
      </c>
      <c r="H255" s="5">
        <f t="shared" si="17"/>
        <v>19</v>
      </c>
      <c r="I255">
        <f t="shared" si="18"/>
        <v>3.8</v>
      </c>
    </row>
    <row r="256" spans="1:9">
      <c r="A256" s="3">
        <f t="shared" si="19"/>
        <v>46336</v>
      </c>
      <c r="B256" s="3" t="str">
        <f>TEXT(calendar[[#This Row],[date]], "yymmdd")</f>
        <v>261110</v>
      </c>
      <c r="C256" s="4">
        <f>DATEDIF("1/1/2024", calendar[[#This Row],[date]], "M")</f>
        <v>34</v>
      </c>
      <c r="D256" s="3" t="str">
        <f>TEXT(calendar[[#This Row],[date]], "dd")</f>
        <v>10</v>
      </c>
      <c r="E256" s="1">
        <f>IF(OR(WEEKDAY(calendar[[#This Row],[date]])= 1, WEEKDAY(calendar[[#This Row],[date]])=7), 0, 1)</f>
        <v>1</v>
      </c>
      <c r="F256">
        <f t="shared" si="15"/>
        <v>46</v>
      </c>
      <c r="G256" t="str">
        <f t="shared" si="16"/>
        <v>202611</v>
      </c>
      <c r="H256" s="5">
        <f t="shared" si="17"/>
        <v>19</v>
      </c>
      <c r="I256">
        <f t="shared" si="18"/>
        <v>3.8</v>
      </c>
    </row>
    <row r="257" spans="1:11">
      <c r="A257" s="3">
        <f t="shared" si="19"/>
        <v>46337</v>
      </c>
      <c r="B257" s="3" t="str">
        <f>TEXT(calendar[[#This Row],[date]], "yymmdd")</f>
        <v>261111</v>
      </c>
      <c r="C257" s="4">
        <f>DATEDIF("1/1/2024", calendar[[#This Row],[date]], "M")</f>
        <v>34</v>
      </c>
      <c r="D257" s="3" t="str">
        <f>TEXT(calendar[[#This Row],[date]], "dd")</f>
        <v>11</v>
      </c>
      <c r="E257" s="1">
        <f>IF(OR(WEEKDAY(calendar[[#This Row],[date]])= 1, WEEKDAY(calendar[[#This Row],[date]])=7), 0, 1)</f>
        <v>1</v>
      </c>
      <c r="F257">
        <f t="shared" si="15"/>
        <v>46</v>
      </c>
      <c r="G257" t="str">
        <f t="shared" si="16"/>
        <v>202611</v>
      </c>
      <c r="H257" s="5">
        <f t="shared" si="17"/>
        <v>19</v>
      </c>
      <c r="I257">
        <f t="shared" si="18"/>
        <v>3.8</v>
      </c>
    </row>
    <row r="258" spans="1:11">
      <c r="A258" s="3">
        <f t="shared" si="19"/>
        <v>46338</v>
      </c>
      <c r="B258" s="3" t="str">
        <f>TEXT(calendar[[#This Row],[date]], "yymmdd")</f>
        <v>261112</v>
      </c>
      <c r="C258" s="4">
        <f>DATEDIF("1/1/2024", calendar[[#This Row],[date]], "M")</f>
        <v>34</v>
      </c>
      <c r="D258" s="3" t="str">
        <f>TEXT(calendar[[#This Row],[date]], "dd")</f>
        <v>12</v>
      </c>
      <c r="E258" s="1">
        <f>IF(OR(WEEKDAY(calendar[[#This Row],[date]])= 1, WEEKDAY(calendar[[#This Row],[date]])=7), 0, 1)</f>
        <v>1</v>
      </c>
      <c r="F258">
        <f t="shared" ref="F258:F321" si="20">_xlfn.ISOWEEKNUM(A258)</f>
        <v>46</v>
      </c>
      <c r="G258" t="str">
        <f t="shared" ref="G258:G321" si="21">TEXT(A258, "yyyymm")</f>
        <v>202611</v>
      </c>
      <c r="H258" s="5">
        <f t="shared" ref="H258:H321" si="22">NETWORKDAYS(EOMONTH(A258,-1)+1,EOMONTH(A258,0), L$2:L$11)</f>
        <v>19</v>
      </c>
      <c r="I258">
        <f t="shared" si="18"/>
        <v>3.8</v>
      </c>
    </row>
    <row r="259" spans="1:11">
      <c r="A259" s="3">
        <f t="shared" si="19"/>
        <v>46339</v>
      </c>
      <c r="B259" s="3" t="str">
        <f>TEXT(calendar[[#This Row],[date]], "yymmdd")</f>
        <v>261113</v>
      </c>
      <c r="C259" s="4">
        <f>DATEDIF("1/1/2024", calendar[[#This Row],[date]], "M")</f>
        <v>34</v>
      </c>
      <c r="D259" s="3" t="str">
        <f>TEXT(calendar[[#This Row],[date]], "dd")</f>
        <v>13</v>
      </c>
      <c r="E259" s="1">
        <f>IF(OR(WEEKDAY(calendar[[#This Row],[date]])= 1, WEEKDAY(calendar[[#This Row],[date]])=7), 0, 1)</f>
        <v>1</v>
      </c>
      <c r="F259">
        <f t="shared" si="20"/>
        <v>46</v>
      </c>
      <c r="G259" t="str">
        <f t="shared" si="21"/>
        <v>202611</v>
      </c>
      <c r="H259" s="5">
        <f t="shared" si="22"/>
        <v>19</v>
      </c>
      <c r="I259">
        <f t="shared" ref="I259:I322" si="23">H259/5</f>
        <v>3.8</v>
      </c>
    </row>
    <row r="260" spans="1:11">
      <c r="A260" s="3">
        <f t="shared" ref="A260:A323" si="24">A259+1</f>
        <v>46340</v>
      </c>
      <c r="B260" s="3" t="str">
        <f>TEXT(calendar[[#This Row],[date]], "yymmdd")</f>
        <v>261114</v>
      </c>
      <c r="C260" s="4">
        <f>DATEDIF("1/1/2024", calendar[[#This Row],[date]], "M")</f>
        <v>34</v>
      </c>
      <c r="D260" s="3" t="str">
        <f>TEXT(calendar[[#This Row],[date]], "dd")</f>
        <v>14</v>
      </c>
      <c r="E260" s="1">
        <f>IF(OR(WEEKDAY(calendar[[#This Row],[date]])= 1, WEEKDAY(calendar[[#This Row],[date]])=7), 0, 1)</f>
        <v>0</v>
      </c>
      <c r="F260">
        <f t="shared" si="20"/>
        <v>46</v>
      </c>
      <c r="G260" t="str">
        <f t="shared" si="21"/>
        <v>202611</v>
      </c>
      <c r="H260" s="5">
        <f t="shared" si="22"/>
        <v>19</v>
      </c>
      <c r="I260">
        <f t="shared" si="23"/>
        <v>3.8</v>
      </c>
    </row>
    <row r="261" spans="1:11">
      <c r="A261" s="3">
        <f t="shared" si="24"/>
        <v>46341</v>
      </c>
      <c r="B261" s="3" t="str">
        <f>TEXT(calendar[[#This Row],[date]], "yymmdd")</f>
        <v>261115</v>
      </c>
      <c r="C261" s="4">
        <f>DATEDIF("1/1/2024", calendar[[#This Row],[date]], "M")</f>
        <v>34</v>
      </c>
      <c r="D261" s="3" t="str">
        <f>TEXT(calendar[[#This Row],[date]], "dd")</f>
        <v>15</v>
      </c>
      <c r="E261" s="1">
        <f>IF(OR(WEEKDAY(calendar[[#This Row],[date]])= 1, WEEKDAY(calendar[[#This Row],[date]])=7), 0, 1)</f>
        <v>0</v>
      </c>
      <c r="F261">
        <f t="shared" si="20"/>
        <v>46</v>
      </c>
      <c r="G261" t="str">
        <f t="shared" si="21"/>
        <v>202611</v>
      </c>
      <c r="H261" s="5">
        <f t="shared" si="22"/>
        <v>19</v>
      </c>
      <c r="I261">
        <f t="shared" si="23"/>
        <v>3.8</v>
      </c>
    </row>
    <row r="262" spans="1:11">
      <c r="A262" s="3">
        <f t="shared" si="24"/>
        <v>46342</v>
      </c>
      <c r="B262" s="3" t="str">
        <f>TEXT(calendar[[#This Row],[date]], "yymmdd")</f>
        <v>261116</v>
      </c>
      <c r="C262" s="4">
        <f>DATEDIF("1/1/2024", calendar[[#This Row],[date]], "M")</f>
        <v>34</v>
      </c>
      <c r="D262" s="3" t="str">
        <f>TEXT(calendar[[#This Row],[date]], "dd")</f>
        <v>16</v>
      </c>
      <c r="E262" s="1">
        <f>IF(OR(WEEKDAY(calendar[[#This Row],[date]])= 1, WEEKDAY(calendar[[#This Row],[date]])=7), 0, 1)</f>
        <v>1</v>
      </c>
      <c r="F262">
        <f t="shared" si="20"/>
        <v>47</v>
      </c>
      <c r="G262" t="str">
        <f t="shared" si="21"/>
        <v>202611</v>
      </c>
      <c r="H262" s="5">
        <f t="shared" si="22"/>
        <v>19</v>
      </c>
      <c r="I262">
        <f t="shared" si="23"/>
        <v>3.8</v>
      </c>
    </row>
    <row r="263" spans="1:11">
      <c r="A263" s="3">
        <f t="shared" si="24"/>
        <v>46343</v>
      </c>
      <c r="B263" s="3" t="str">
        <f>TEXT(calendar[[#This Row],[date]], "yymmdd")</f>
        <v>261117</v>
      </c>
      <c r="C263" s="4">
        <f>DATEDIF("1/1/2024", calendar[[#This Row],[date]], "M")</f>
        <v>34</v>
      </c>
      <c r="D263" s="3" t="str">
        <f>TEXT(calendar[[#This Row],[date]], "dd")</f>
        <v>17</v>
      </c>
      <c r="E263" s="1">
        <f>IF(OR(WEEKDAY(calendar[[#This Row],[date]])= 1, WEEKDAY(calendar[[#This Row],[date]])=7), 0, 1)</f>
        <v>1</v>
      </c>
      <c r="F263">
        <f t="shared" si="20"/>
        <v>47</v>
      </c>
      <c r="G263" t="str">
        <f t="shared" si="21"/>
        <v>202611</v>
      </c>
      <c r="H263" s="5">
        <f t="shared" si="22"/>
        <v>19</v>
      </c>
      <c r="I263">
        <f t="shared" si="23"/>
        <v>3.8</v>
      </c>
    </row>
    <row r="264" spans="1:11">
      <c r="A264" s="3">
        <f t="shared" si="24"/>
        <v>46344</v>
      </c>
      <c r="B264" s="3" t="str">
        <f>TEXT(calendar[[#This Row],[date]], "yymmdd")</f>
        <v>261118</v>
      </c>
      <c r="C264" s="4">
        <f>DATEDIF("1/1/2024", calendar[[#This Row],[date]], "M")</f>
        <v>34</v>
      </c>
      <c r="D264" s="3" t="str">
        <f>TEXT(calendar[[#This Row],[date]], "dd")</f>
        <v>18</v>
      </c>
      <c r="E264" s="1">
        <f>IF(OR(WEEKDAY(calendar[[#This Row],[date]])= 1, WEEKDAY(calendar[[#This Row],[date]])=7), 0, 1)</f>
        <v>1</v>
      </c>
      <c r="F264">
        <f t="shared" si="20"/>
        <v>47</v>
      </c>
      <c r="G264" t="str">
        <f t="shared" si="21"/>
        <v>202611</v>
      </c>
      <c r="H264" s="5">
        <f t="shared" si="22"/>
        <v>19</v>
      </c>
      <c r="I264">
        <f t="shared" si="23"/>
        <v>3.8</v>
      </c>
    </row>
    <row r="265" spans="1:11">
      <c r="A265" s="3">
        <f t="shared" si="24"/>
        <v>46345</v>
      </c>
      <c r="B265" s="3" t="str">
        <f>TEXT(calendar[[#This Row],[date]], "yymmdd")</f>
        <v>261119</v>
      </c>
      <c r="C265" s="4">
        <f>DATEDIF("1/1/2024", calendar[[#This Row],[date]], "M")</f>
        <v>34</v>
      </c>
      <c r="D265" s="3" t="str">
        <f>TEXT(calendar[[#This Row],[date]], "dd")</f>
        <v>19</v>
      </c>
      <c r="E265" s="1">
        <f>IF(OR(WEEKDAY(calendar[[#This Row],[date]])= 1, WEEKDAY(calendar[[#This Row],[date]])=7), 0, 1)</f>
        <v>1</v>
      </c>
      <c r="F265">
        <f t="shared" si="20"/>
        <v>47</v>
      </c>
      <c r="G265" t="str">
        <f t="shared" si="21"/>
        <v>202611</v>
      </c>
      <c r="H265" s="5">
        <f t="shared" si="22"/>
        <v>19</v>
      </c>
      <c r="I265">
        <f t="shared" si="23"/>
        <v>3.8</v>
      </c>
    </row>
    <row r="266" spans="1:11">
      <c r="A266" s="3">
        <f t="shared" si="24"/>
        <v>46346</v>
      </c>
      <c r="B266" s="3" t="str">
        <f>TEXT(calendar[[#This Row],[date]], "yymmdd")</f>
        <v>261120</v>
      </c>
      <c r="C266" s="4">
        <f>DATEDIF("1/1/2024", calendar[[#This Row],[date]], "M")</f>
        <v>34</v>
      </c>
      <c r="D266" s="3" t="str">
        <f>TEXT(calendar[[#This Row],[date]], "dd")</f>
        <v>20</v>
      </c>
      <c r="E266" s="1">
        <f>IF(OR(WEEKDAY(calendar[[#This Row],[date]])= 1, WEEKDAY(calendar[[#This Row],[date]])=7), 0, 1)</f>
        <v>1</v>
      </c>
      <c r="F266">
        <f t="shared" si="20"/>
        <v>47</v>
      </c>
      <c r="G266" t="str">
        <f t="shared" si="21"/>
        <v>202611</v>
      </c>
      <c r="H266" s="5">
        <f t="shared" si="22"/>
        <v>19</v>
      </c>
      <c r="I266">
        <f t="shared" si="23"/>
        <v>3.8</v>
      </c>
    </row>
    <row r="267" spans="1:11">
      <c r="A267" s="3">
        <f t="shared" si="24"/>
        <v>46347</v>
      </c>
      <c r="B267" s="3" t="str">
        <f>TEXT(calendar[[#This Row],[date]], "yymmdd")</f>
        <v>261121</v>
      </c>
      <c r="C267" s="4">
        <f>DATEDIF("1/1/2024", calendar[[#This Row],[date]], "M")</f>
        <v>34</v>
      </c>
      <c r="D267" s="3" t="str">
        <f>TEXT(calendar[[#This Row],[date]], "dd")</f>
        <v>21</v>
      </c>
      <c r="E267" s="1">
        <f>IF(OR(WEEKDAY(calendar[[#This Row],[date]])= 1, WEEKDAY(calendar[[#This Row],[date]])=7), 0, 1)</f>
        <v>0</v>
      </c>
      <c r="F267">
        <f t="shared" si="20"/>
        <v>47</v>
      </c>
      <c r="G267" t="str">
        <f t="shared" si="21"/>
        <v>202611</v>
      </c>
      <c r="H267" s="5">
        <f t="shared" si="22"/>
        <v>19</v>
      </c>
      <c r="I267">
        <f t="shared" si="23"/>
        <v>3.8</v>
      </c>
    </row>
    <row r="268" spans="1:11">
      <c r="A268" s="3">
        <f t="shared" si="24"/>
        <v>46348</v>
      </c>
      <c r="B268" s="3" t="str">
        <f>TEXT(calendar[[#This Row],[date]], "yymmdd")</f>
        <v>261122</v>
      </c>
      <c r="C268" s="4">
        <f>DATEDIF("1/1/2024", calendar[[#This Row],[date]], "M")</f>
        <v>34</v>
      </c>
      <c r="D268" s="3" t="str">
        <f>TEXT(calendar[[#This Row],[date]], "dd")</f>
        <v>22</v>
      </c>
      <c r="E268" s="1">
        <f>IF(OR(WEEKDAY(calendar[[#This Row],[date]])= 1, WEEKDAY(calendar[[#This Row],[date]])=7), 0, 1)</f>
        <v>0</v>
      </c>
      <c r="F268">
        <f t="shared" si="20"/>
        <v>47</v>
      </c>
      <c r="G268" t="str">
        <f t="shared" si="21"/>
        <v>202611</v>
      </c>
      <c r="H268" s="5">
        <f t="shared" si="22"/>
        <v>19</v>
      </c>
      <c r="I268">
        <f t="shared" si="23"/>
        <v>3.8</v>
      </c>
    </row>
    <row r="269" spans="1:11">
      <c r="A269" s="3">
        <f t="shared" si="24"/>
        <v>46349</v>
      </c>
      <c r="B269" s="3" t="str">
        <f>TEXT(calendar[[#This Row],[date]], "yymmdd")</f>
        <v>261123</v>
      </c>
      <c r="C269" s="4">
        <f>DATEDIF("1/1/2024", calendar[[#This Row],[date]], "M")</f>
        <v>34</v>
      </c>
      <c r="D269" s="3" t="str">
        <f>TEXT(calendar[[#This Row],[date]], "dd")</f>
        <v>23</v>
      </c>
      <c r="E269" s="1">
        <f>IF(OR(WEEKDAY(calendar[[#This Row],[date]])= 1, WEEKDAY(calendar[[#This Row],[date]])=7), 0, 1)</f>
        <v>1</v>
      </c>
      <c r="F269">
        <f t="shared" si="20"/>
        <v>48</v>
      </c>
      <c r="G269" t="str">
        <f t="shared" si="21"/>
        <v>202611</v>
      </c>
      <c r="H269" s="5">
        <f t="shared" si="22"/>
        <v>19</v>
      </c>
      <c r="I269">
        <f t="shared" si="23"/>
        <v>3.8</v>
      </c>
    </row>
    <row r="270" spans="1:11">
      <c r="A270" s="3">
        <f t="shared" si="24"/>
        <v>46350</v>
      </c>
      <c r="B270" s="3" t="str">
        <f>TEXT(calendar[[#This Row],[date]], "yymmdd")</f>
        <v>261124</v>
      </c>
      <c r="C270" s="4">
        <f>DATEDIF("1/1/2024", calendar[[#This Row],[date]], "M")</f>
        <v>34</v>
      </c>
      <c r="D270" s="3" t="str">
        <f>TEXT(calendar[[#This Row],[date]], "dd")</f>
        <v>24</v>
      </c>
      <c r="E270" s="1">
        <f>IF(OR(WEEKDAY(calendar[[#This Row],[date]])= 1, WEEKDAY(calendar[[#This Row],[date]])=7), 0, 1)</f>
        <v>1</v>
      </c>
      <c r="F270">
        <f t="shared" si="20"/>
        <v>48</v>
      </c>
      <c r="G270" t="str">
        <f t="shared" si="21"/>
        <v>202611</v>
      </c>
      <c r="H270" s="5">
        <f t="shared" si="22"/>
        <v>19</v>
      </c>
      <c r="I270">
        <f t="shared" si="23"/>
        <v>3.8</v>
      </c>
    </row>
    <row r="271" spans="1:11">
      <c r="A271" s="3">
        <f t="shared" si="24"/>
        <v>46351</v>
      </c>
      <c r="B271" s="3" t="str">
        <f>TEXT(calendar[[#This Row],[date]], "yymmdd")</f>
        <v>261125</v>
      </c>
      <c r="C271" s="4">
        <f>DATEDIF("1/1/2024", calendar[[#This Row],[date]], "M")</f>
        <v>34</v>
      </c>
      <c r="D271" s="3" t="str">
        <f>TEXT(calendar[[#This Row],[date]], "dd")</f>
        <v>25</v>
      </c>
      <c r="E271" s="1">
        <f>IF(OR(WEEKDAY(calendar[[#This Row],[date]])= 1, WEEKDAY(calendar[[#This Row],[date]])=7), 0, 1)</f>
        <v>1</v>
      </c>
      <c r="F271">
        <f t="shared" si="20"/>
        <v>48</v>
      </c>
      <c r="G271" t="str">
        <f t="shared" si="21"/>
        <v>202611</v>
      </c>
      <c r="H271" s="5">
        <f t="shared" si="22"/>
        <v>19</v>
      </c>
      <c r="I271">
        <f t="shared" si="23"/>
        <v>3.8</v>
      </c>
      <c r="K271" s="6">
        <f>calendar[[#This Row],[workingDays]]/calendar[[#This Row],[weeksInMonth]]</f>
        <v>5</v>
      </c>
    </row>
    <row r="272" spans="1:11">
      <c r="A272" s="3">
        <f t="shared" si="24"/>
        <v>46352</v>
      </c>
      <c r="B272" s="3" t="str">
        <f>TEXT(calendar[[#This Row],[date]], "yymmdd")</f>
        <v>261126</v>
      </c>
      <c r="C272" s="4">
        <f>DATEDIF("1/1/2024", calendar[[#This Row],[date]], "M")</f>
        <v>34</v>
      </c>
      <c r="D272" s="3" t="str">
        <f>TEXT(calendar[[#This Row],[date]], "dd")</f>
        <v>26</v>
      </c>
      <c r="E272" s="1">
        <f>IF(OR(WEEKDAY(calendar[[#This Row],[date]])= 1, WEEKDAY(calendar[[#This Row],[date]])=7), 0, 1)</f>
        <v>1</v>
      </c>
      <c r="F272">
        <f t="shared" si="20"/>
        <v>48</v>
      </c>
      <c r="G272" t="str">
        <f t="shared" si="21"/>
        <v>202611</v>
      </c>
      <c r="H272" s="5">
        <f t="shared" si="22"/>
        <v>19</v>
      </c>
      <c r="I272">
        <f t="shared" si="23"/>
        <v>3.8</v>
      </c>
    </row>
    <row r="273" spans="1:11">
      <c r="A273" s="3">
        <f t="shared" si="24"/>
        <v>46353</v>
      </c>
      <c r="B273" s="3" t="str">
        <f>TEXT(calendar[[#This Row],[date]], "yymmdd")</f>
        <v>261127</v>
      </c>
      <c r="C273" s="4">
        <f>DATEDIF("1/1/2024", calendar[[#This Row],[date]], "M")</f>
        <v>34</v>
      </c>
      <c r="D273" s="3" t="str">
        <f>TEXT(calendar[[#This Row],[date]], "dd")</f>
        <v>27</v>
      </c>
      <c r="E273" s="1">
        <f>IF(OR(WEEKDAY(calendar[[#This Row],[date]])= 1, WEEKDAY(calendar[[#This Row],[date]])=7), 0, 1)</f>
        <v>1</v>
      </c>
      <c r="F273">
        <f t="shared" si="20"/>
        <v>48</v>
      </c>
      <c r="G273" t="str">
        <f t="shared" si="21"/>
        <v>202611</v>
      </c>
      <c r="H273" s="5">
        <f t="shared" si="22"/>
        <v>19</v>
      </c>
      <c r="I273">
        <f t="shared" si="23"/>
        <v>3.8</v>
      </c>
    </row>
    <row r="274" spans="1:11">
      <c r="A274" s="3">
        <f t="shared" si="24"/>
        <v>46354</v>
      </c>
      <c r="B274" s="3" t="str">
        <f>TEXT(calendar[[#This Row],[date]], "yymmdd")</f>
        <v>261128</v>
      </c>
      <c r="C274" s="4">
        <f>DATEDIF("1/1/2024", calendar[[#This Row],[date]], "M")</f>
        <v>34</v>
      </c>
      <c r="D274" s="3" t="str">
        <f>TEXT(calendar[[#This Row],[date]], "dd")</f>
        <v>28</v>
      </c>
      <c r="E274" s="1">
        <f>IF(OR(WEEKDAY(calendar[[#This Row],[date]])= 1, WEEKDAY(calendar[[#This Row],[date]])=7), 0, 1)</f>
        <v>0</v>
      </c>
      <c r="F274">
        <f t="shared" si="20"/>
        <v>48</v>
      </c>
      <c r="G274" t="str">
        <f t="shared" si="21"/>
        <v>202611</v>
      </c>
      <c r="H274" s="5">
        <f t="shared" si="22"/>
        <v>19</v>
      </c>
      <c r="I274">
        <f t="shared" si="23"/>
        <v>3.8</v>
      </c>
    </row>
    <row r="275" spans="1:11">
      <c r="A275" s="3">
        <f t="shared" si="24"/>
        <v>46355</v>
      </c>
      <c r="B275" s="3" t="str">
        <f>TEXT(calendar[[#This Row],[date]], "yymmdd")</f>
        <v>261129</v>
      </c>
      <c r="C275" s="4">
        <f>DATEDIF("1/1/2024", calendar[[#This Row],[date]], "M")</f>
        <v>34</v>
      </c>
      <c r="D275" s="3" t="str">
        <f>TEXT(calendar[[#This Row],[date]], "dd")</f>
        <v>29</v>
      </c>
      <c r="E275" s="1">
        <f>IF(OR(WEEKDAY(calendar[[#This Row],[date]])= 1, WEEKDAY(calendar[[#This Row],[date]])=7), 0, 1)</f>
        <v>0</v>
      </c>
      <c r="F275">
        <f t="shared" si="20"/>
        <v>48</v>
      </c>
      <c r="G275" t="str">
        <f t="shared" si="21"/>
        <v>202611</v>
      </c>
      <c r="H275" s="5">
        <f t="shared" si="22"/>
        <v>19</v>
      </c>
      <c r="I275">
        <f t="shared" si="23"/>
        <v>3.8</v>
      </c>
    </row>
    <row r="276" spans="1:11">
      <c r="A276" s="3">
        <f t="shared" si="24"/>
        <v>46356</v>
      </c>
      <c r="B276" s="3" t="str">
        <f>TEXT(calendar[[#This Row],[date]], "yymmdd")</f>
        <v>261130</v>
      </c>
      <c r="C276" s="4">
        <f>DATEDIF("1/1/2024", calendar[[#This Row],[date]], "M")</f>
        <v>34</v>
      </c>
      <c r="D276" s="3" t="str">
        <f>TEXT(calendar[[#This Row],[date]], "dd")</f>
        <v>30</v>
      </c>
      <c r="E276" s="1">
        <f>IF(OR(WEEKDAY(calendar[[#This Row],[date]])= 1, WEEKDAY(calendar[[#This Row],[date]])=7), 0, 1)</f>
        <v>1</v>
      </c>
      <c r="F276">
        <f t="shared" si="20"/>
        <v>49</v>
      </c>
      <c r="G276" t="str">
        <f t="shared" si="21"/>
        <v>202611</v>
      </c>
      <c r="H276" s="5">
        <f t="shared" si="22"/>
        <v>19</v>
      </c>
      <c r="I276">
        <f t="shared" si="23"/>
        <v>3.8</v>
      </c>
    </row>
    <row r="277" spans="1:11">
      <c r="A277" s="3">
        <f t="shared" si="24"/>
        <v>46357</v>
      </c>
      <c r="B277" s="3" t="str">
        <f>TEXT(calendar[[#This Row],[date]], "yymmdd")</f>
        <v>261201</v>
      </c>
      <c r="C277" s="4">
        <f>DATEDIF("1/1/2024", calendar[[#This Row],[date]], "M")</f>
        <v>35</v>
      </c>
      <c r="D277" s="3" t="str">
        <f>TEXT(calendar[[#This Row],[date]], "dd")</f>
        <v>01</v>
      </c>
      <c r="E277" s="1">
        <f>IF(OR(WEEKDAY(calendar[[#This Row],[date]])= 1, WEEKDAY(calendar[[#This Row],[date]])=7), 0, 1)</f>
        <v>1</v>
      </c>
      <c r="F277">
        <f t="shared" si="20"/>
        <v>49</v>
      </c>
      <c r="G277" t="str">
        <f t="shared" si="21"/>
        <v>202612</v>
      </c>
      <c r="H277" s="5">
        <f t="shared" si="22"/>
        <v>22</v>
      </c>
      <c r="I277">
        <f t="shared" si="23"/>
        <v>4.4000000000000004</v>
      </c>
      <c r="K277" s="6">
        <f>calendar[[#This Row],[workingDays]]/calendar[[#This Row],[weeksInMonth]]</f>
        <v>5</v>
      </c>
    </row>
    <row r="278" spans="1:11">
      <c r="A278" s="3">
        <f t="shared" si="24"/>
        <v>46358</v>
      </c>
      <c r="B278" s="3" t="str">
        <f>TEXT(calendar[[#This Row],[date]], "yymmdd")</f>
        <v>261202</v>
      </c>
      <c r="C278" s="4">
        <f>DATEDIF("1/1/2024", calendar[[#This Row],[date]], "M")</f>
        <v>35</v>
      </c>
      <c r="D278" s="3" t="str">
        <f>TEXT(calendar[[#This Row],[date]], "dd")</f>
        <v>02</v>
      </c>
      <c r="E278" s="1">
        <f>IF(OR(WEEKDAY(calendar[[#This Row],[date]])= 1, WEEKDAY(calendar[[#This Row],[date]])=7), 0, 1)</f>
        <v>1</v>
      </c>
      <c r="F278">
        <f t="shared" si="20"/>
        <v>49</v>
      </c>
      <c r="G278" t="str">
        <f t="shared" si="21"/>
        <v>202612</v>
      </c>
      <c r="H278" s="5">
        <f t="shared" si="22"/>
        <v>22</v>
      </c>
      <c r="I278">
        <f t="shared" si="23"/>
        <v>4.4000000000000004</v>
      </c>
    </row>
    <row r="279" spans="1:11">
      <c r="A279" s="3">
        <f t="shared" si="24"/>
        <v>46359</v>
      </c>
      <c r="B279" s="3" t="str">
        <f>TEXT(calendar[[#This Row],[date]], "yymmdd")</f>
        <v>261203</v>
      </c>
      <c r="C279" s="4">
        <f>DATEDIF("1/1/2024", calendar[[#This Row],[date]], "M")</f>
        <v>35</v>
      </c>
      <c r="D279" s="3" t="str">
        <f>TEXT(calendar[[#This Row],[date]], "dd")</f>
        <v>03</v>
      </c>
      <c r="E279" s="1">
        <f>IF(OR(WEEKDAY(calendar[[#This Row],[date]])= 1, WEEKDAY(calendar[[#This Row],[date]])=7), 0, 1)</f>
        <v>1</v>
      </c>
      <c r="F279">
        <f t="shared" si="20"/>
        <v>49</v>
      </c>
      <c r="G279" t="str">
        <f t="shared" si="21"/>
        <v>202612</v>
      </c>
      <c r="H279" s="5">
        <f t="shared" si="22"/>
        <v>22</v>
      </c>
      <c r="I279">
        <f t="shared" si="23"/>
        <v>4.4000000000000004</v>
      </c>
    </row>
    <row r="280" spans="1:11">
      <c r="A280" s="3">
        <f t="shared" si="24"/>
        <v>46360</v>
      </c>
      <c r="B280" s="3" t="str">
        <f>TEXT(calendar[[#This Row],[date]], "yymmdd")</f>
        <v>261204</v>
      </c>
      <c r="C280" s="4">
        <f>DATEDIF("1/1/2024", calendar[[#This Row],[date]], "M")</f>
        <v>35</v>
      </c>
      <c r="D280" s="3" t="str">
        <f>TEXT(calendar[[#This Row],[date]], "dd")</f>
        <v>04</v>
      </c>
      <c r="E280" s="1">
        <f>IF(OR(WEEKDAY(calendar[[#This Row],[date]])= 1, WEEKDAY(calendar[[#This Row],[date]])=7), 0, 1)</f>
        <v>1</v>
      </c>
      <c r="F280">
        <f t="shared" si="20"/>
        <v>49</v>
      </c>
      <c r="G280" t="str">
        <f t="shared" si="21"/>
        <v>202612</v>
      </c>
      <c r="H280" s="5">
        <f t="shared" si="22"/>
        <v>22</v>
      </c>
      <c r="I280">
        <f t="shared" si="23"/>
        <v>4.4000000000000004</v>
      </c>
    </row>
    <row r="281" spans="1:11">
      <c r="A281" s="3">
        <f t="shared" si="24"/>
        <v>46361</v>
      </c>
      <c r="B281" s="3" t="str">
        <f>TEXT(calendar[[#This Row],[date]], "yymmdd")</f>
        <v>261205</v>
      </c>
      <c r="C281" s="4">
        <f>DATEDIF("1/1/2024", calendar[[#This Row],[date]], "M")</f>
        <v>35</v>
      </c>
      <c r="D281" s="3" t="str">
        <f>TEXT(calendar[[#This Row],[date]], "dd")</f>
        <v>05</v>
      </c>
      <c r="E281" s="1">
        <f>IF(OR(WEEKDAY(calendar[[#This Row],[date]])= 1, WEEKDAY(calendar[[#This Row],[date]])=7), 0, 1)</f>
        <v>0</v>
      </c>
      <c r="F281">
        <f t="shared" si="20"/>
        <v>49</v>
      </c>
      <c r="G281" t="str">
        <f t="shared" si="21"/>
        <v>202612</v>
      </c>
      <c r="H281" s="5">
        <f t="shared" si="22"/>
        <v>22</v>
      </c>
      <c r="I281">
        <f t="shared" si="23"/>
        <v>4.4000000000000004</v>
      </c>
    </row>
    <row r="282" spans="1:11">
      <c r="A282" s="3">
        <f t="shared" si="24"/>
        <v>46362</v>
      </c>
      <c r="B282" s="3" t="str">
        <f>TEXT(calendar[[#This Row],[date]], "yymmdd")</f>
        <v>261206</v>
      </c>
      <c r="C282" s="4">
        <f>DATEDIF("1/1/2024", calendar[[#This Row],[date]], "M")</f>
        <v>35</v>
      </c>
      <c r="D282" s="3" t="str">
        <f>TEXT(calendar[[#This Row],[date]], "dd")</f>
        <v>06</v>
      </c>
      <c r="E282" s="1">
        <f>IF(OR(WEEKDAY(calendar[[#This Row],[date]])= 1, WEEKDAY(calendar[[#This Row],[date]])=7), 0, 1)</f>
        <v>0</v>
      </c>
      <c r="F282">
        <f t="shared" si="20"/>
        <v>49</v>
      </c>
      <c r="G282" t="str">
        <f t="shared" si="21"/>
        <v>202612</v>
      </c>
      <c r="H282" s="5">
        <f t="shared" si="22"/>
        <v>22</v>
      </c>
      <c r="I282">
        <f t="shared" si="23"/>
        <v>4.4000000000000004</v>
      </c>
    </row>
    <row r="283" spans="1:11">
      <c r="A283" s="3">
        <f t="shared" si="24"/>
        <v>46363</v>
      </c>
      <c r="B283" s="3" t="str">
        <f>TEXT(calendar[[#This Row],[date]], "yymmdd")</f>
        <v>261207</v>
      </c>
      <c r="C283" s="4">
        <f>DATEDIF("1/1/2024", calendar[[#This Row],[date]], "M")</f>
        <v>35</v>
      </c>
      <c r="D283" s="3" t="str">
        <f>TEXT(calendar[[#This Row],[date]], "dd")</f>
        <v>07</v>
      </c>
      <c r="E283" s="1">
        <f>IF(OR(WEEKDAY(calendar[[#This Row],[date]])= 1, WEEKDAY(calendar[[#This Row],[date]])=7), 0, 1)</f>
        <v>1</v>
      </c>
      <c r="F283">
        <f t="shared" si="20"/>
        <v>50</v>
      </c>
      <c r="G283" t="str">
        <f t="shared" si="21"/>
        <v>202612</v>
      </c>
      <c r="H283" s="5">
        <f t="shared" si="22"/>
        <v>22</v>
      </c>
      <c r="I283">
        <f t="shared" si="23"/>
        <v>4.4000000000000004</v>
      </c>
    </row>
    <row r="284" spans="1:11">
      <c r="A284" s="3">
        <f t="shared" si="24"/>
        <v>46364</v>
      </c>
      <c r="B284" s="3" t="str">
        <f>TEXT(calendar[[#This Row],[date]], "yymmdd")</f>
        <v>261208</v>
      </c>
      <c r="C284" s="4">
        <f>DATEDIF("1/1/2024", calendar[[#This Row],[date]], "M")</f>
        <v>35</v>
      </c>
      <c r="D284" s="3" t="str">
        <f>TEXT(calendar[[#This Row],[date]], "dd")</f>
        <v>08</v>
      </c>
      <c r="E284" s="1">
        <f>IF(OR(WEEKDAY(calendar[[#This Row],[date]])= 1, WEEKDAY(calendar[[#This Row],[date]])=7), 0, 1)</f>
        <v>1</v>
      </c>
      <c r="F284">
        <f t="shared" si="20"/>
        <v>50</v>
      </c>
      <c r="G284" t="str">
        <f t="shared" si="21"/>
        <v>202612</v>
      </c>
      <c r="H284" s="5">
        <f t="shared" si="22"/>
        <v>22</v>
      </c>
      <c r="I284">
        <f t="shared" si="23"/>
        <v>4.4000000000000004</v>
      </c>
    </row>
    <row r="285" spans="1:11">
      <c r="A285" s="3">
        <f t="shared" si="24"/>
        <v>46365</v>
      </c>
      <c r="B285" s="3" t="str">
        <f>TEXT(calendar[[#This Row],[date]], "yymmdd")</f>
        <v>261209</v>
      </c>
      <c r="C285" s="4">
        <f>DATEDIF("1/1/2024", calendar[[#This Row],[date]], "M")</f>
        <v>35</v>
      </c>
      <c r="D285" s="3" t="str">
        <f>TEXT(calendar[[#This Row],[date]], "dd")</f>
        <v>09</v>
      </c>
      <c r="E285" s="1">
        <f>IF(OR(WEEKDAY(calendar[[#This Row],[date]])= 1, WEEKDAY(calendar[[#This Row],[date]])=7), 0, 1)</f>
        <v>1</v>
      </c>
      <c r="F285">
        <f t="shared" si="20"/>
        <v>50</v>
      </c>
      <c r="G285" t="str">
        <f t="shared" si="21"/>
        <v>202612</v>
      </c>
      <c r="H285" s="5">
        <f t="shared" si="22"/>
        <v>22</v>
      </c>
      <c r="I285">
        <f t="shared" si="23"/>
        <v>4.4000000000000004</v>
      </c>
    </row>
    <row r="286" spans="1:11">
      <c r="A286" s="3">
        <f t="shared" si="24"/>
        <v>46366</v>
      </c>
      <c r="B286" s="3" t="str">
        <f>TEXT(calendar[[#This Row],[date]], "yymmdd")</f>
        <v>261210</v>
      </c>
      <c r="C286" s="4">
        <f>DATEDIF("1/1/2024", calendar[[#This Row],[date]], "M")</f>
        <v>35</v>
      </c>
      <c r="D286" s="3" t="str">
        <f>TEXT(calendar[[#This Row],[date]], "dd")</f>
        <v>10</v>
      </c>
      <c r="E286" s="1">
        <f>IF(OR(WEEKDAY(calendar[[#This Row],[date]])= 1, WEEKDAY(calendar[[#This Row],[date]])=7), 0, 1)</f>
        <v>1</v>
      </c>
      <c r="F286">
        <f t="shared" si="20"/>
        <v>50</v>
      </c>
      <c r="G286" t="str">
        <f t="shared" si="21"/>
        <v>202612</v>
      </c>
      <c r="H286" s="5">
        <f t="shared" si="22"/>
        <v>22</v>
      </c>
      <c r="I286">
        <f t="shared" si="23"/>
        <v>4.4000000000000004</v>
      </c>
    </row>
    <row r="287" spans="1:11">
      <c r="A287" s="3">
        <f t="shared" si="24"/>
        <v>46367</v>
      </c>
      <c r="B287" s="3" t="str">
        <f>TEXT(calendar[[#This Row],[date]], "yymmdd")</f>
        <v>261211</v>
      </c>
      <c r="C287" s="4">
        <f>DATEDIF("1/1/2024", calendar[[#This Row],[date]], "M")</f>
        <v>35</v>
      </c>
      <c r="D287" s="3" t="str">
        <f>TEXT(calendar[[#This Row],[date]], "dd")</f>
        <v>11</v>
      </c>
      <c r="E287" s="1">
        <f>IF(OR(WEEKDAY(calendar[[#This Row],[date]])= 1, WEEKDAY(calendar[[#This Row],[date]])=7), 0, 1)</f>
        <v>1</v>
      </c>
      <c r="F287">
        <f t="shared" si="20"/>
        <v>50</v>
      </c>
      <c r="G287" t="str">
        <f t="shared" si="21"/>
        <v>202612</v>
      </c>
      <c r="H287" s="5">
        <f t="shared" si="22"/>
        <v>22</v>
      </c>
      <c r="I287">
        <f t="shared" si="23"/>
        <v>4.4000000000000004</v>
      </c>
    </row>
    <row r="288" spans="1:11">
      <c r="A288" s="3">
        <f t="shared" si="24"/>
        <v>46368</v>
      </c>
      <c r="B288" s="3" t="str">
        <f>TEXT(calendar[[#This Row],[date]], "yymmdd")</f>
        <v>261212</v>
      </c>
      <c r="C288" s="4">
        <f>DATEDIF("1/1/2024", calendar[[#This Row],[date]], "M")</f>
        <v>35</v>
      </c>
      <c r="D288" s="3" t="str">
        <f>TEXT(calendar[[#This Row],[date]], "dd")</f>
        <v>12</v>
      </c>
      <c r="E288" s="1">
        <f>IF(OR(WEEKDAY(calendar[[#This Row],[date]])= 1, WEEKDAY(calendar[[#This Row],[date]])=7), 0, 1)</f>
        <v>0</v>
      </c>
      <c r="F288">
        <f t="shared" si="20"/>
        <v>50</v>
      </c>
      <c r="G288" t="str">
        <f t="shared" si="21"/>
        <v>202612</v>
      </c>
      <c r="H288" s="5">
        <f t="shared" si="22"/>
        <v>22</v>
      </c>
      <c r="I288">
        <f t="shared" si="23"/>
        <v>4.4000000000000004</v>
      </c>
    </row>
    <row r="289" spans="1:9">
      <c r="A289" s="3">
        <f t="shared" si="24"/>
        <v>46369</v>
      </c>
      <c r="B289" s="3" t="str">
        <f>TEXT(calendar[[#This Row],[date]], "yymmdd")</f>
        <v>261213</v>
      </c>
      <c r="C289" s="4">
        <f>DATEDIF("1/1/2024", calendar[[#This Row],[date]], "M")</f>
        <v>35</v>
      </c>
      <c r="D289" s="3" t="str">
        <f>TEXT(calendar[[#This Row],[date]], "dd")</f>
        <v>13</v>
      </c>
      <c r="E289" s="1">
        <f>IF(OR(WEEKDAY(calendar[[#This Row],[date]])= 1, WEEKDAY(calendar[[#This Row],[date]])=7), 0, 1)</f>
        <v>0</v>
      </c>
      <c r="F289">
        <f t="shared" si="20"/>
        <v>50</v>
      </c>
      <c r="G289" t="str">
        <f t="shared" si="21"/>
        <v>202612</v>
      </c>
      <c r="H289" s="5">
        <f t="shared" si="22"/>
        <v>22</v>
      </c>
      <c r="I289">
        <f t="shared" si="23"/>
        <v>4.4000000000000004</v>
      </c>
    </row>
    <row r="290" spans="1:9">
      <c r="A290" s="3">
        <f t="shared" si="24"/>
        <v>46370</v>
      </c>
      <c r="B290" s="3" t="str">
        <f>TEXT(calendar[[#This Row],[date]], "yymmdd")</f>
        <v>261214</v>
      </c>
      <c r="C290" s="4">
        <f>DATEDIF("1/1/2024", calendar[[#This Row],[date]], "M")</f>
        <v>35</v>
      </c>
      <c r="D290" s="3" t="str">
        <f>TEXT(calendar[[#This Row],[date]], "dd")</f>
        <v>14</v>
      </c>
      <c r="E290" s="1">
        <f>IF(OR(WEEKDAY(calendar[[#This Row],[date]])= 1, WEEKDAY(calendar[[#This Row],[date]])=7), 0, 1)</f>
        <v>1</v>
      </c>
      <c r="F290">
        <f t="shared" si="20"/>
        <v>51</v>
      </c>
      <c r="G290" t="str">
        <f t="shared" si="21"/>
        <v>202612</v>
      </c>
      <c r="H290" s="5">
        <f t="shared" si="22"/>
        <v>22</v>
      </c>
      <c r="I290">
        <f t="shared" si="23"/>
        <v>4.4000000000000004</v>
      </c>
    </row>
    <row r="291" spans="1:9">
      <c r="A291" s="3">
        <f t="shared" si="24"/>
        <v>46371</v>
      </c>
      <c r="B291" s="3" t="str">
        <f>TEXT(calendar[[#This Row],[date]], "yymmdd")</f>
        <v>261215</v>
      </c>
      <c r="C291" s="4">
        <f>DATEDIF("1/1/2024", calendar[[#This Row],[date]], "M")</f>
        <v>35</v>
      </c>
      <c r="D291" s="3" t="str">
        <f>TEXT(calendar[[#This Row],[date]], "dd")</f>
        <v>15</v>
      </c>
      <c r="E291" s="1">
        <f>IF(OR(WEEKDAY(calendar[[#This Row],[date]])= 1, WEEKDAY(calendar[[#This Row],[date]])=7), 0, 1)</f>
        <v>1</v>
      </c>
      <c r="F291">
        <f t="shared" si="20"/>
        <v>51</v>
      </c>
      <c r="G291" t="str">
        <f t="shared" si="21"/>
        <v>202612</v>
      </c>
      <c r="H291" s="5">
        <f t="shared" si="22"/>
        <v>22</v>
      </c>
      <c r="I291">
        <f t="shared" si="23"/>
        <v>4.4000000000000004</v>
      </c>
    </row>
    <row r="292" spans="1:9">
      <c r="A292" s="3">
        <f t="shared" si="24"/>
        <v>46372</v>
      </c>
      <c r="B292" s="3" t="str">
        <f>TEXT(calendar[[#This Row],[date]], "yymmdd")</f>
        <v>261216</v>
      </c>
      <c r="C292" s="4">
        <f>DATEDIF("1/1/2024", calendar[[#This Row],[date]], "M")</f>
        <v>35</v>
      </c>
      <c r="D292" s="3" t="str">
        <f>TEXT(calendar[[#This Row],[date]], "dd")</f>
        <v>16</v>
      </c>
      <c r="E292" s="1">
        <f>IF(OR(WEEKDAY(calendar[[#This Row],[date]])= 1, WEEKDAY(calendar[[#This Row],[date]])=7), 0, 1)</f>
        <v>1</v>
      </c>
      <c r="F292">
        <f t="shared" si="20"/>
        <v>51</v>
      </c>
      <c r="G292" t="str">
        <f t="shared" si="21"/>
        <v>202612</v>
      </c>
      <c r="H292" s="5">
        <f t="shared" si="22"/>
        <v>22</v>
      </c>
      <c r="I292">
        <f t="shared" si="23"/>
        <v>4.4000000000000004</v>
      </c>
    </row>
    <row r="293" spans="1:9">
      <c r="A293" s="3">
        <f t="shared" si="24"/>
        <v>46373</v>
      </c>
      <c r="B293" s="3" t="str">
        <f>TEXT(calendar[[#This Row],[date]], "yymmdd")</f>
        <v>261217</v>
      </c>
      <c r="C293" s="4">
        <f>DATEDIF("1/1/2024", calendar[[#This Row],[date]], "M")</f>
        <v>35</v>
      </c>
      <c r="D293" s="3" t="str">
        <f>TEXT(calendar[[#This Row],[date]], "dd")</f>
        <v>17</v>
      </c>
      <c r="E293" s="1">
        <f>IF(OR(WEEKDAY(calendar[[#This Row],[date]])= 1, WEEKDAY(calendar[[#This Row],[date]])=7), 0, 1)</f>
        <v>1</v>
      </c>
      <c r="F293">
        <f t="shared" si="20"/>
        <v>51</v>
      </c>
      <c r="G293" t="str">
        <f t="shared" si="21"/>
        <v>202612</v>
      </c>
      <c r="H293" s="5">
        <f t="shared" si="22"/>
        <v>22</v>
      </c>
      <c r="I293">
        <f t="shared" si="23"/>
        <v>4.4000000000000004</v>
      </c>
    </row>
    <row r="294" spans="1:9">
      <c r="A294" s="3">
        <f t="shared" si="24"/>
        <v>46374</v>
      </c>
      <c r="B294" s="3" t="str">
        <f>TEXT(calendar[[#This Row],[date]], "yymmdd")</f>
        <v>261218</v>
      </c>
      <c r="C294" s="4">
        <f>DATEDIF("1/1/2024", calendar[[#This Row],[date]], "M")</f>
        <v>35</v>
      </c>
      <c r="D294" s="3" t="str">
        <f>TEXT(calendar[[#This Row],[date]], "dd")</f>
        <v>18</v>
      </c>
      <c r="E294" s="1">
        <f>IF(OR(WEEKDAY(calendar[[#This Row],[date]])= 1, WEEKDAY(calendar[[#This Row],[date]])=7), 0, 1)</f>
        <v>1</v>
      </c>
      <c r="F294">
        <f t="shared" si="20"/>
        <v>51</v>
      </c>
      <c r="G294" t="str">
        <f t="shared" si="21"/>
        <v>202612</v>
      </c>
      <c r="H294" s="5">
        <f t="shared" si="22"/>
        <v>22</v>
      </c>
      <c r="I294">
        <f t="shared" si="23"/>
        <v>4.4000000000000004</v>
      </c>
    </row>
    <row r="295" spans="1:9">
      <c r="A295" s="3">
        <f t="shared" si="24"/>
        <v>46375</v>
      </c>
      <c r="B295" s="3" t="str">
        <f>TEXT(calendar[[#This Row],[date]], "yymmdd")</f>
        <v>261219</v>
      </c>
      <c r="C295" s="4">
        <f>DATEDIF("1/1/2024", calendar[[#This Row],[date]], "M")</f>
        <v>35</v>
      </c>
      <c r="D295" s="3" t="str">
        <f>TEXT(calendar[[#This Row],[date]], "dd")</f>
        <v>19</v>
      </c>
      <c r="E295" s="1">
        <f>IF(OR(WEEKDAY(calendar[[#This Row],[date]])= 1, WEEKDAY(calendar[[#This Row],[date]])=7), 0, 1)</f>
        <v>0</v>
      </c>
      <c r="F295">
        <f t="shared" si="20"/>
        <v>51</v>
      </c>
      <c r="G295" t="str">
        <f t="shared" si="21"/>
        <v>202612</v>
      </c>
      <c r="H295" s="5">
        <f t="shared" si="22"/>
        <v>22</v>
      </c>
      <c r="I295">
        <f t="shared" si="23"/>
        <v>4.4000000000000004</v>
      </c>
    </row>
    <row r="296" spans="1:9">
      <c r="A296" s="3">
        <f t="shared" si="24"/>
        <v>46376</v>
      </c>
      <c r="B296" s="3" t="str">
        <f>TEXT(calendar[[#This Row],[date]], "yymmdd")</f>
        <v>261220</v>
      </c>
      <c r="C296" s="4">
        <f>DATEDIF("1/1/2024", calendar[[#This Row],[date]], "M")</f>
        <v>35</v>
      </c>
      <c r="D296" s="3" t="str">
        <f>TEXT(calendar[[#This Row],[date]], "dd")</f>
        <v>20</v>
      </c>
      <c r="E296" s="1">
        <f>IF(OR(WEEKDAY(calendar[[#This Row],[date]])= 1, WEEKDAY(calendar[[#This Row],[date]])=7), 0, 1)</f>
        <v>0</v>
      </c>
      <c r="F296">
        <f t="shared" si="20"/>
        <v>51</v>
      </c>
      <c r="G296" t="str">
        <f t="shared" si="21"/>
        <v>202612</v>
      </c>
      <c r="H296" s="5">
        <f t="shared" si="22"/>
        <v>22</v>
      </c>
      <c r="I296">
        <f t="shared" si="23"/>
        <v>4.4000000000000004</v>
      </c>
    </row>
    <row r="297" spans="1:9">
      <c r="A297" s="3">
        <f t="shared" si="24"/>
        <v>46377</v>
      </c>
      <c r="B297" s="3" t="str">
        <f>TEXT(calendar[[#This Row],[date]], "yymmdd")</f>
        <v>261221</v>
      </c>
      <c r="C297" s="4">
        <f>DATEDIF("1/1/2024", calendar[[#This Row],[date]], "M")</f>
        <v>35</v>
      </c>
      <c r="D297" s="3" t="str">
        <f>TEXT(calendar[[#This Row],[date]], "dd")</f>
        <v>21</v>
      </c>
      <c r="E297" s="1">
        <f>IF(OR(WEEKDAY(calendar[[#This Row],[date]])= 1, WEEKDAY(calendar[[#This Row],[date]])=7), 0, 1)</f>
        <v>1</v>
      </c>
      <c r="F297">
        <f t="shared" si="20"/>
        <v>52</v>
      </c>
      <c r="G297" t="str">
        <f t="shared" si="21"/>
        <v>202612</v>
      </c>
      <c r="H297" s="5">
        <f t="shared" si="22"/>
        <v>22</v>
      </c>
      <c r="I297">
        <f t="shared" si="23"/>
        <v>4.4000000000000004</v>
      </c>
    </row>
    <row r="298" spans="1:9">
      <c r="A298" s="3">
        <f t="shared" si="24"/>
        <v>46378</v>
      </c>
      <c r="B298" s="3" t="str">
        <f>TEXT(calendar[[#This Row],[date]], "yymmdd")</f>
        <v>261222</v>
      </c>
      <c r="C298" s="4">
        <f>DATEDIF("1/1/2024", calendar[[#This Row],[date]], "M")</f>
        <v>35</v>
      </c>
      <c r="D298" s="3" t="str">
        <f>TEXT(calendar[[#This Row],[date]], "dd")</f>
        <v>22</v>
      </c>
      <c r="E298" s="1">
        <f>IF(OR(WEEKDAY(calendar[[#This Row],[date]])= 1, WEEKDAY(calendar[[#This Row],[date]])=7), 0, 1)</f>
        <v>1</v>
      </c>
      <c r="F298">
        <f t="shared" si="20"/>
        <v>52</v>
      </c>
      <c r="G298" t="str">
        <f t="shared" si="21"/>
        <v>202612</v>
      </c>
      <c r="H298" s="5">
        <f t="shared" si="22"/>
        <v>22</v>
      </c>
      <c r="I298">
        <f t="shared" si="23"/>
        <v>4.4000000000000004</v>
      </c>
    </row>
    <row r="299" spans="1:9">
      <c r="A299" s="3">
        <f t="shared" si="24"/>
        <v>46379</v>
      </c>
      <c r="B299" s="3" t="str">
        <f>TEXT(calendar[[#This Row],[date]], "yymmdd")</f>
        <v>261223</v>
      </c>
      <c r="C299" s="4">
        <f>DATEDIF("1/1/2024", calendar[[#This Row],[date]], "M")</f>
        <v>35</v>
      </c>
      <c r="D299" s="3" t="str">
        <f>TEXT(calendar[[#This Row],[date]], "dd")</f>
        <v>23</v>
      </c>
      <c r="E299" s="1">
        <f>IF(OR(WEEKDAY(calendar[[#This Row],[date]])= 1, WEEKDAY(calendar[[#This Row],[date]])=7), 0, 1)</f>
        <v>1</v>
      </c>
      <c r="F299">
        <f t="shared" si="20"/>
        <v>52</v>
      </c>
      <c r="G299" t="str">
        <f t="shared" si="21"/>
        <v>202612</v>
      </c>
      <c r="H299" s="5">
        <f t="shared" si="22"/>
        <v>22</v>
      </c>
      <c r="I299">
        <f t="shared" si="23"/>
        <v>4.4000000000000004</v>
      </c>
    </row>
    <row r="300" spans="1:9">
      <c r="A300" s="3">
        <f t="shared" si="24"/>
        <v>46380</v>
      </c>
      <c r="B300" s="3" t="str">
        <f>TEXT(calendar[[#This Row],[date]], "yymmdd")</f>
        <v>261224</v>
      </c>
      <c r="C300" s="4">
        <f>DATEDIF("1/1/2024", calendar[[#This Row],[date]], "M")</f>
        <v>35</v>
      </c>
      <c r="D300" s="3" t="str">
        <f>TEXT(calendar[[#This Row],[date]], "dd")</f>
        <v>24</v>
      </c>
      <c r="E300" s="1">
        <f>IF(OR(WEEKDAY(calendar[[#This Row],[date]])= 1, WEEKDAY(calendar[[#This Row],[date]])=7), 0, 1)</f>
        <v>1</v>
      </c>
      <c r="F300">
        <f t="shared" si="20"/>
        <v>52</v>
      </c>
      <c r="G300" t="str">
        <f t="shared" si="21"/>
        <v>202612</v>
      </c>
      <c r="H300" s="5">
        <f t="shared" si="22"/>
        <v>22</v>
      </c>
      <c r="I300">
        <f t="shared" si="23"/>
        <v>4.4000000000000004</v>
      </c>
    </row>
    <row r="301" spans="1:9">
      <c r="A301" s="3">
        <f t="shared" si="24"/>
        <v>46381</v>
      </c>
      <c r="B301" s="3" t="str">
        <f>TEXT(calendar[[#This Row],[date]], "yymmdd")</f>
        <v>261225</v>
      </c>
      <c r="C301" s="4">
        <f>DATEDIF("1/1/2024", calendar[[#This Row],[date]], "M")</f>
        <v>35</v>
      </c>
      <c r="D301" s="3" t="str">
        <f>TEXT(calendar[[#This Row],[date]], "dd")</f>
        <v>25</v>
      </c>
      <c r="E301" s="1">
        <f>IF(OR(WEEKDAY(calendar[[#This Row],[date]])= 1, WEEKDAY(calendar[[#This Row],[date]])=7), 0, 1)</f>
        <v>1</v>
      </c>
      <c r="F301">
        <f t="shared" si="20"/>
        <v>52</v>
      </c>
      <c r="G301" t="str">
        <f t="shared" si="21"/>
        <v>202612</v>
      </c>
      <c r="H301" s="5">
        <f t="shared" si="22"/>
        <v>22</v>
      </c>
      <c r="I301">
        <f t="shared" si="23"/>
        <v>4.4000000000000004</v>
      </c>
    </row>
    <row r="302" spans="1:9">
      <c r="A302" s="3">
        <f t="shared" si="24"/>
        <v>46382</v>
      </c>
      <c r="B302" s="3" t="str">
        <f>TEXT(calendar[[#This Row],[date]], "yymmdd")</f>
        <v>261226</v>
      </c>
      <c r="C302" s="4">
        <f>DATEDIF("1/1/2024", calendar[[#This Row],[date]], "M")</f>
        <v>35</v>
      </c>
      <c r="D302" s="3" t="str">
        <f>TEXT(calendar[[#This Row],[date]], "dd")</f>
        <v>26</v>
      </c>
      <c r="E302" s="1">
        <f>IF(OR(WEEKDAY(calendar[[#This Row],[date]])= 1, WEEKDAY(calendar[[#This Row],[date]])=7), 0, 1)</f>
        <v>0</v>
      </c>
      <c r="F302">
        <f t="shared" si="20"/>
        <v>52</v>
      </c>
      <c r="G302" t="str">
        <f t="shared" si="21"/>
        <v>202612</v>
      </c>
      <c r="H302" s="5">
        <f t="shared" si="22"/>
        <v>22</v>
      </c>
      <c r="I302">
        <f t="shared" si="23"/>
        <v>4.4000000000000004</v>
      </c>
    </row>
    <row r="303" spans="1:9">
      <c r="A303" s="3">
        <f t="shared" si="24"/>
        <v>46383</v>
      </c>
      <c r="B303" s="3" t="str">
        <f>TEXT(calendar[[#This Row],[date]], "yymmdd")</f>
        <v>261227</v>
      </c>
      <c r="C303" s="4">
        <f>DATEDIF("1/1/2024", calendar[[#This Row],[date]], "M")</f>
        <v>35</v>
      </c>
      <c r="D303" s="3" t="str">
        <f>TEXT(calendar[[#This Row],[date]], "dd")</f>
        <v>27</v>
      </c>
      <c r="E303" s="1">
        <f>IF(OR(WEEKDAY(calendar[[#This Row],[date]])= 1, WEEKDAY(calendar[[#This Row],[date]])=7), 0, 1)</f>
        <v>0</v>
      </c>
      <c r="F303">
        <f t="shared" si="20"/>
        <v>52</v>
      </c>
      <c r="G303" t="str">
        <f t="shared" si="21"/>
        <v>202612</v>
      </c>
      <c r="H303" s="5">
        <f t="shared" si="22"/>
        <v>22</v>
      </c>
      <c r="I303">
        <f t="shared" si="23"/>
        <v>4.4000000000000004</v>
      </c>
    </row>
    <row r="304" spans="1:9">
      <c r="A304" s="3">
        <f t="shared" si="24"/>
        <v>46384</v>
      </c>
      <c r="B304" s="3" t="str">
        <f>TEXT(calendar[[#This Row],[date]], "yymmdd")</f>
        <v>261228</v>
      </c>
      <c r="C304" s="4">
        <f>DATEDIF("1/1/2024", calendar[[#This Row],[date]], "M")</f>
        <v>35</v>
      </c>
      <c r="D304" s="3" t="str">
        <f>TEXT(calendar[[#This Row],[date]], "dd")</f>
        <v>28</v>
      </c>
      <c r="E304" s="1">
        <f>IF(OR(WEEKDAY(calendar[[#This Row],[date]])= 1, WEEKDAY(calendar[[#This Row],[date]])=7), 0, 1)</f>
        <v>1</v>
      </c>
      <c r="F304">
        <f t="shared" si="20"/>
        <v>53</v>
      </c>
      <c r="G304" t="str">
        <f t="shared" si="21"/>
        <v>202612</v>
      </c>
      <c r="H304" s="5">
        <f t="shared" si="22"/>
        <v>22</v>
      </c>
      <c r="I304">
        <f t="shared" si="23"/>
        <v>4.4000000000000004</v>
      </c>
    </row>
    <row r="305" spans="1:9">
      <c r="A305" s="3">
        <f t="shared" si="24"/>
        <v>46385</v>
      </c>
      <c r="B305" s="3" t="str">
        <f>TEXT(calendar[[#This Row],[date]], "yymmdd")</f>
        <v>261229</v>
      </c>
      <c r="C305" s="4">
        <f>DATEDIF("1/1/2024", calendar[[#This Row],[date]], "M")</f>
        <v>35</v>
      </c>
      <c r="D305" s="3" t="str">
        <f>TEXT(calendar[[#This Row],[date]], "dd")</f>
        <v>29</v>
      </c>
      <c r="E305" s="1">
        <f>IF(OR(WEEKDAY(calendar[[#This Row],[date]])= 1, WEEKDAY(calendar[[#This Row],[date]])=7), 0, 1)</f>
        <v>1</v>
      </c>
      <c r="F305">
        <f t="shared" si="20"/>
        <v>53</v>
      </c>
      <c r="G305" t="str">
        <f t="shared" si="21"/>
        <v>202612</v>
      </c>
      <c r="H305" s="5">
        <f t="shared" si="22"/>
        <v>22</v>
      </c>
      <c r="I305">
        <f t="shared" si="23"/>
        <v>4.4000000000000004</v>
      </c>
    </row>
    <row r="306" spans="1:9">
      <c r="A306" s="3">
        <f t="shared" si="24"/>
        <v>46386</v>
      </c>
      <c r="B306" s="3" t="str">
        <f>TEXT(calendar[[#This Row],[date]], "yymmdd")</f>
        <v>261230</v>
      </c>
      <c r="C306" s="4">
        <f>DATEDIF("1/1/2024", calendar[[#This Row],[date]], "M")</f>
        <v>35</v>
      </c>
      <c r="D306" s="3" t="str">
        <f>TEXT(calendar[[#This Row],[date]], "dd")</f>
        <v>30</v>
      </c>
      <c r="E306" s="1">
        <f>IF(OR(WEEKDAY(calendar[[#This Row],[date]])= 1, WEEKDAY(calendar[[#This Row],[date]])=7), 0, 1)</f>
        <v>1</v>
      </c>
      <c r="F306">
        <f t="shared" si="20"/>
        <v>53</v>
      </c>
      <c r="G306" t="str">
        <f t="shared" si="21"/>
        <v>202612</v>
      </c>
      <c r="H306" s="5">
        <f t="shared" si="22"/>
        <v>22</v>
      </c>
      <c r="I306">
        <f t="shared" si="23"/>
        <v>4.4000000000000004</v>
      </c>
    </row>
    <row r="307" spans="1:9">
      <c r="A307" s="3">
        <f t="shared" si="24"/>
        <v>46387</v>
      </c>
      <c r="B307" s="3" t="str">
        <f>TEXT(calendar[[#This Row],[date]], "yymmdd")</f>
        <v>261231</v>
      </c>
      <c r="C307" s="4">
        <f>DATEDIF("1/1/2024", calendar[[#This Row],[date]], "M")</f>
        <v>35</v>
      </c>
      <c r="D307" s="3" t="str">
        <f>TEXT(calendar[[#This Row],[date]], "dd")</f>
        <v>31</v>
      </c>
      <c r="E307" s="1">
        <f>IF(OR(WEEKDAY(calendar[[#This Row],[date]])= 1, WEEKDAY(calendar[[#This Row],[date]])=7), 0, 1)</f>
        <v>1</v>
      </c>
      <c r="F307">
        <f t="shared" si="20"/>
        <v>53</v>
      </c>
      <c r="G307" t="str">
        <f t="shared" si="21"/>
        <v>202612</v>
      </c>
      <c r="H307" s="5">
        <f t="shared" si="22"/>
        <v>22</v>
      </c>
      <c r="I307">
        <f t="shared" si="23"/>
        <v>4.4000000000000004</v>
      </c>
    </row>
    <row r="308" spans="1:9">
      <c r="A308" s="3">
        <f t="shared" si="24"/>
        <v>46388</v>
      </c>
      <c r="B308" s="3" t="str">
        <f>TEXT(calendar[[#This Row],[date]], "yymmdd")</f>
        <v>270101</v>
      </c>
      <c r="C308" s="4">
        <f>DATEDIF("1/1/2024", calendar[[#This Row],[date]], "M")</f>
        <v>36</v>
      </c>
      <c r="D308" s="3" t="str">
        <f>TEXT(calendar[[#This Row],[date]], "dd")</f>
        <v>01</v>
      </c>
      <c r="E308" s="1">
        <f>IF(OR(WEEKDAY(calendar[[#This Row],[date]])= 1, WEEKDAY(calendar[[#This Row],[date]])=7), 0, 1)</f>
        <v>1</v>
      </c>
      <c r="F308">
        <f t="shared" si="20"/>
        <v>53</v>
      </c>
      <c r="G308" t="str">
        <f t="shared" si="21"/>
        <v>202701</v>
      </c>
      <c r="H308" s="5">
        <f t="shared" si="22"/>
        <v>21</v>
      </c>
      <c r="I308">
        <f t="shared" si="23"/>
        <v>4.2</v>
      </c>
    </row>
    <row r="309" spans="1:9">
      <c r="A309" s="3">
        <f t="shared" si="24"/>
        <v>46389</v>
      </c>
      <c r="B309" s="3" t="str">
        <f>TEXT(calendar[[#This Row],[date]], "yymmdd")</f>
        <v>270102</v>
      </c>
      <c r="C309" s="4">
        <f>DATEDIF("1/1/2024", calendar[[#This Row],[date]], "M")</f>
        <v>36</v>
      </c>
      <c r="D309" s="3" t="str">
        <f>TEXT(calendar[[#This Row],[date]], "dd")</f>
        <v>02</v>
      </c>
      <c r="E309" s="1">
        <f>IF(OR(WEEKDAY(calendar[[#This Row],[date]])= 1, WEEKDAY(calendar[[#This Row],[date]])=7), 0, 1)</f>
        <v>0</v>
      </c>
      <c r="F309">
        <f t="shared" si="20"/>
        <v>53</v>
      </c>
      <c r="G309" t="str">
        <f t="shared" si="21"/>
        <v>202701</v>
      </c>
      <c r="H309" s="5">
        <f t="shared" si="22"/>
        <v>21</v>
      </c>
      <c r="I309">
        <f t="shared" si="23"/>
        <v>4.2</v>
      </c>
    </row>
    <row r="310" spans="1:9">
      <c r="A310" s="3">
        <f t="shared" si="24"/>
        <v>46390</v>
      </c>
      <c r="B310" s="3" t="str">
        <f>TEXT(calendar[[#This Row],[date]], "yymmdd")</f>
        <v>270103</v>
      </c>
      <c r="C310" s="4">
        <f>DATEDIF("1/1/2024", calendar[[#This Row],[date]], "M")</f>
        <v>36</v>
      </c>
      <c r="D310" s="3" t="str">
        <f>TEXT(calendar[[#This Row],[date]], "dd")</f>
        <v>03</v>
      </c>
      <c r="E310" s="1">
        <f>IF(OR(WEEKDAY(calendar[[#This Row],[date]])= 1, WEEKDAY(calendar[[#This Row],[date]])=7), 0, 1)</f>
        <v>0</v>
      </c>
      <c r="F310">
        <f t="shared" si="20"/>
        <v>53</v>
      </c>
      <c r="G310" t="str">
        <f t="shared" si="21"/>
        <v>202701</v>
      </c>
      <c r="H310" s="5">
        <f t="shared" si="22"/>
        <v>21</v>
      </c>
      <c r="I310">
        <f t="shared" si="23"/>
        <v>4.2</v>
      </c>
    </row>
    <row r="311" spans="1:9">
      <c r="A311" s="3">
        <f t="shared" si="24"/>
        <v>46391</v>
      </c>
      <c r="B311" s="3" t="str">
        <f>TEXT(calendar[[#This Row],[date]], "yymmdd")</f>
        <v>270104</v>
      </c>
      <c r="C311" s="4">
        <f>DATEDIF("1/1/2024", calendar[[#This Row],[date]], "M")</f>
        <v>36</v>
      </c>
      <c r="D311" s="3" t="str">
        <f>TEXT(calendar[[#This Row],[date]], "dd")</f>
        <v>04</v>
      </c>
      <c r="E311" s="1">
        <f>IF(OR(WEEKDAY(calendar[[#This Row],[date]])= 1, WEEKDAY(calendar[[#This Row],[date]])=7), 0, 1)</f>
        <v>1</v>
      </c>
      <c r="F311">
        <f t="shared" si="20"/>
        <v>1</v>
      </c>
      <c r="G311" t="str">
        <f t="shared" si="21"/>
        <v>202701</v>
      </c>
      <c r="H311" s="5">
        <f t="shared" si="22"/>
        <v>21</v>
      </c>
      <c r="I311">
        <f t="shared" si="23"/>
        <v>4.2</v>
      </c>
    </row>
    <row r="312" spans="1:9">
      <c r="A312" s="3">
        <f t="shared" si="24"/>
        <v>46392</v>
      </c>
      <c r="B312" s="3" t="str">
        <f>TEXT(calendar[[#This Row],[date]], "yymmdd")</f>
        <v>270105</v>
      </c>
      <c r="C312" s="4">
        <f>DATEDIF("1/1/2024", calendar[[#This Row],[date]], "M")</f>
        <v>36</v>
      </c>
      <c r="D312" s="3" t="str">
        <f>TEXT(calendar[[#This Row],[date]], "dd")</f>
        <v>05</v>
      </c>
      <c r="E312" s="1">
        <f>IF(OR(WEEKDAY(calendar[[#This Row],[date]])= 1, WEEKDAY(calendar[[#This Row],[date]])=7), 0, 1)</f>
        <v>1</v>
      </c>
      <c r="F312">
        <f t="shared" si="20"/>
        <v>1</v>
      </c>
      <c r="G312" t="str">
        <f t="shared" si="21"/>
        <v>202701</v>
      </c>
      <c r="H312" s="5">
        <f t="shared" si="22"/>
        <v>21</v>
      </c>
      <c r="I312">
        <f t="shared" si="23"/>
        <v>4.2</v>
      </c>
    </row>
    <row r="313" spans="1:9">
      <c r="A313" s="3">
        <f t="shared" si="24"/>
        <v>46393</v>
      </c>
      <c r="B313" s="3" t="str">
        <f>TEXT(calendar[[#This Row],[date]], "yymmdd")</f>
        <v>270106</v>
      </c>
      <c r="C313" s="4">
        <f>DATEDIF("1/1/2024", calendar[[#This Row],[date]], "M")</f>
        <v>36</v>
      </c>
      <c r="D313" s="3" t="str">
        <f>TEXT(calendar[[#This Row],[date]], "dd")</f>
        <v>06</v>
      </c>
      <c r="E313" s="1">
        <f>IF(OR(WEEKDAY(calendar[[#This Row],[date]])= 1, WEEKDAY(calendar[[#This Row],[date]])=7), 0, 1)</f>
        <v>1</v>
      </c>
      <c r="F313">
        <f t="shared" si="20"/>
        <v>1</v>
      </c>
      <c r="G313" t="str">
        <f t="shared" si="21"/>
        <v>202701</v>
      </c>
      <c r="H313" s="5">
        <f t="shared" si="22"/>
        <v>21</v>
      </c>
      <c r="I313">
        <f t="shared" si="23"/>
        <v>4.2</v>
      </c>
    </row>
    <row r="314" spans="1:9">
      <c r="A314" s="3">
        <f t="shared" si="24"/>
        <v>46394</v>
      </c>
      <c r="B314" s="3" t="str">
        <f>TEXT(calendar[[#This Row],[date]], "yymmdd")</f>
        <v>270107</v>
      </c>
      <c r="C314" s="4">
        <f>DATEDIF("1/1/2024", calendar[[#This Row],[date]], "M")</f>
        <v>36</v>
      </c>
      <c r="D314" s="3" t="str">
        <f>TEXT(calendar[[#This Row],[date]], "dd")</f>
        <v>07</v>
      </c>
      <c r="E314" s="1">
        <f>IF(OR(WEEKDAY(calendar[[#This Row],[date]])= 1, WEEKDAY(calendar[[#This Row],[date]])=7), 0, 1)</f>
        <v>1</v>
      </c>
      <c r="F314">
        <f t="shared" si="20"/>
        <v>1</v>
      </c>
      <c r="G314" t="str">
        <f t="shared" si="21"/>
        <v>202701</v>
      </c>
      <c r="H314" s="5">
        <f t="shared" si="22"/>
        <v>21</v>
      </c>
      <c r="I314">
        <f t="shared" si="23"/>
        <v>4.2</v>
      </c>
    </row>
    <row r="315" spans="1:9">
      <c r="A315" s="3">
        <f t="shared" si="24"/>
        <v>46395</v>
      </c>
      <c r="B315" s="3" t="str">
        <f>TEXT(calendar[[#This Row],[date]], "yymmdd")</f>
        <v>270108</v>
      </c>
      <c r="C315" s="4">
        <f>DATEDIF("1/1/2024", calendar[[#This Row],[date]], "M")</f>
        <v>36</v>
      </c>
      <c r="D315" s="3" t="str">
        <f>TEXT(calendar[[#This Row],[date]], "dd")</f>
        <v>08</v>
      </c>
      <c r="E315" s="1">
        <f>IF(OR(WEEKDAY(calendar[[#This Row],[date]])= 1, WEEKDAY(calendar[[#This Row],[date]])=7), 0, 1)</f>
        <v>1</v>
      </c>
      <c r="F315">
        <f t="shared" si="20"/>
        <v>1</v>
      </c>
      <c r="G315" t="str">
        <f t="shared" si="21"/>
        <v>202701</v>
      </c>
      <c r="H315" s="5">
        <f t="shared" si="22"/>
        <v>21</v>
      </c>
      <c r="I315">
        <f t="shared" si="23"/>
        <v>4.2</v>
      </c>
    </row>
    <row r="316" spans="1:9">
      <c r="A316" s="3">
        <f t="shared" si="24"/>
        <v>46396</v>
      </c>
      <c r="B316" s="3" t="str">
        <f>TEXT(calendar[[#This Row],[date]], "yymmdd")</f>
        <v>270109</v>
      </c>
      <c r="C316" s="4">
        <f>DATEDIF("1/1/2024", calendar[[#This Row],[date]], "M")</f>
        <v>36</v>
      </c>
      <c r="D316" s="3" t="str">
        <f>TEXT(calendar[[#This Row],[date]], "dd")</f>
        <v>09</v>
      </c>
      <c r="E316" s="1">
        <f>IF(OR(WEEKDAY(calendar[[#This Row],[date]])= 1, WEEKDAY(calendar[[#This Row],[date]])=7), 0, 1)</f>
        <v>0</v>
      </c>
      <c r="F316">
        <f t="shared" si="20"/>
        <v>1</v>
      </c>
      <c r="G316" t="str">
        <f t="shared" si="21"/>
        <v>202701</v>
      </c>
      <c r="H316" s="5">
        <f t="shared" si="22"/>
        <v>21</v>
      </c>
      <c r="I316">
        <f t="shared" si="23"/>
        <v>4.2</v>
      </c>
    </row>
    <row r="317" spans="1:9">
      <c r="A317" s="3">
        <f t="shared" si="24"/>
        <v>46397</v>
      </c>
      <c r="B317" s="3" t="str">
        <f>TEXT(calendar[[#This Row],[date]], "yymmdd")</f>
        <v>270110</v>
      </c>
      <c r="C317" s="4">
        <f>DATEDIF("1/1/2024", calendar[[#This Row],[date]], "M")</f>
        <v>36</v>
      </c>
      <c r="D317" s="3" t="str">
        <f>TEXT(calendar[[#This Row],[date]], "dd")</f>
        <v>10</v>
      </c>
      <c r="E317" s="1">
        <f>IF(OR(WEEKDAY(calendar[[#This Row],[date]])= 1, WEEKDAY(calendar[[#This Row],[date]])=7), 0, 1)</f>
        <v>0</v>
      </c>
      <c r="F317">
        <f t="shared" si="20"/>
        <v>1</v>
      </c>
      <c r="G317" t="str">
        <f t="shared" si="21"/>
        <v>202701</v>
      </c>
      <c r="H317" s="5">
        <f t="shared" si="22"/>
        <v>21</v>
      </c>
      <c r="I317">
        <f t="shared" si="23"/>
        <v>4.2</v>
      </c>
    </row>
    <row r="318" spans="1:9">
      <c r="A318" s="3">
        <f t="shared" si="24"/>
        <v>46398</v>
      </c>
      <c r="B318" s="3" t="str">
        <f>TEXT(calendar[[#This Row],[date]], "yymmdd")</f>
        <v>270111</v>
      </c>
      <c r="C318" s="4">
        <f>DATEDIF("1/1/2024", calendar[[#This Row],[date]], "M")</f>
        <v>36</v>
      </c>
      <c r="D318" s="3" t="str">
        <f>TEXT(calendar[[#This Row],[date]], "dd")</f>
        <v>11</v>
      </c>
      <c r="E318" s="1">
        <f>IF(OR(WEEKDAY(calendar[[#This Row],[date]])= 1, WEEKDAY(calendar[[#This Row],[date]])=7), 0, 1)</f>
        <v>1</v>
      </c>
      <c r="F318">
        <f t="shared" si="20"/>
        <v>2</v>
      </c>
      <c r="G318" t="str">
        <f t="shared" si="21"/>
        <v>202701</v>
      </c>
      <c r="H318" s="5">
        <f t="shared" si="22"/>
        <v>21</v>
      </c>
      <c r="I318">
        <f t="shared" si="23"/>
        <v>4.2</v>
      </c>
    </row>
    <row r="319" spans="1:9">
      <c r="A319" s="3">
        <f t="shared" si="24"/>
        <v>46399</v>
      </c>
      <c r="B319" s="3" t="str">
        <f>TEXT(calendar[[#This Row],[date]], "yymmdd")</f>
        <v>270112</v>
      </c>
      <c r="C319" s="4">
        <f>DATEDIF("1/1/2024", calendar[[#This Row],[date]], "M")</f>
        <v>36</v>
      </c>
      <c r="D319" s="3" t="str">
        <f>TEXT(calendar[[#This Row],[date]], "dd")</f>
        <v>12</v>
      </c>
      <c r="E319" s="1">
        <f>IF(OR(WEEKDAY(calendar[[#This Row],[date]])= 1, WEEKDAY(calendar[[#This Row],[date]])=7), 0, 1)</f>
        <v>1</v>
      </c>
      <c r="F319">
        <f t="shared" si="20"/>
        <v>2</v>
      </c>
      <c r="G319" t="str">
        <f t="shared" si="21"/>
        <v>202701</v>
      </c>
      <c r="H319" s="5">
        <f t="shared" si="22"/>
        <v>21</v>
      </c>
      <c r="I319">
        <f t="shared" si="23"/>
        <v>4.2</v>
      </c>
    </row>
    <row r="320" spans="1:9">
      <c r="A320" s="3">
        <f t="shared" si="24"/>
        <v>46400</v>
      </c>
      <c r="B320" s="3" t="str">
        <f>TEXT(calendar[[#This Row],[date]], "yymmdd")</f>
        <v>270113</v>
      </c>
      <c r="C320" s="4">
        <f>DATEDIF("1/1/2024", calendar[[#This Row],[date]], "M")</f>
        <v>36</v>
      </c>
      <c r="D320" s="3" t="str">
        <f>TEXT(calendar[[#This Row],[date]], "dd")</f>
        <v>13</v>
      </c>
      <c r="E320" s="1">
        <f>IF(OR(WEEKDAY(calendar[[#This Row],[date]])= 1, WEEKDAY(calendar[[#This Row],[date]])=7), 0, 1)</f>
        <v>1</v>
      </c>
      <c r="F320">
        <f t="shared" si="20"/>
        <v>2</v>
      </c>
      <c r="G320" t="str">
        <f t="shared" si="21"/>
        <v>202701</v>
      </c>
      <c r="H320" s="5">
        <f t="shared" si="22"/>
        <v>21</v>
      </c>
      <c r="I320">
        <f t="shared" si="23"/>
        <v>4.2</v>
      </c>
    </row>
    <row r="321" spans="1:9">
      <c r="A321" s="3">
        <f t="shared" si="24"/>
        <v>46401</v>
      </c>
      <c r="B321" s="3" t="str">
        <f>TEXT(calendar[[#This Row],[date]], "yymmdd")</f>
        <v>270114</v>
      </c>
      <c r="C321" s="4">
        <f>DATEDIF("1/1/2024", calendar[[#This Row],[date]], "M")</f>
        <v>36</v>
      </c>
      <c r="D321" s="3" t="str">
        <f>TEXT(calendar[[#This Row],[date]], "dd")</f>
        <v>14</v>
      </c>
      <c r="E321" s="1">
        <f>IF(OR(WEEKDAY(calendar[[#This Row],[date]])= 1, WEEKDAY(calendar[[#This Row],[date]])=7), 0, 1)</f>
        <v>1</v>
      </c>
      <c r="F321">
        <f t="shared" si="20"/>
        <v>2</v>
      </c>
      <c r="G321" t="str">
        <f t="shared" si="21"/>
        <v>202701</v>
      </c>
      <c r="H321" s="5">
        <f t="shared" si="22"/>
        <v>21</v>
      </c>
      <c r="I321">
        <f t="shared" si="23"/>
        <v>4.2</v>
      </c>
    </row>
    <row r="322" spans="1:9">
      <c r="A322" s="3">
        <f t="shared" si="24"/>
        <v>46402</v>
      </c>
      <c r="B322" s="3" t="str">
        <f>TEXT(calendar[[#This Row],[date]], "yymmdd")</f>
        <v>270115</v>
      </c>
      <c r="C322" s="4">
        <f>DATEDIF("1/1/2024", calendar[[#This Row],[date]], "M")</f>
        <v>36</v>
      </c>
      <c r="D322" s="3" t="str">
        <f>TEXT(calendar[[#This Row],[date]], "dd")</f>
        <v>15</v>
      </c>
      <c r="E322" s="1">
        <f>IF(OR(WEEKDAY(calendar[[#This Row],[date]])= 1, WEEKDAY(calendar[[#This Row],[date]])=7), 0, 1)</f>
        <v>1</v>
      </c>
      <c r="F322">
        <f t="shared" ref="F322:F366" si="25">_xlfn.ISOWEEKNUM(A322)</f>
        <v>2</v>
      </c>
      <c r="G322" t="str">
        <f t="shared" ref="G322:G366" si="26">TEXT(A322, "yyyymm")</f>
        <v>202701</v>
      </c>
      <c r="H322" s="5">
        <f t="shared" ref="H322:H366" si="27">NETWORKDAYS(EOMONTH(A322,-1)+1,EOMONTH(A322,0), L$2:L$11)</f>
        <v>21</v>
      </c>
      <c r="I322">
        <f t="shared" si="23"/>
        <v>4.2</v>
      </c>
    </row>
    <row r="323" spans="1:9">
      <c r="A323" s="3">
        <f t="shared" si="24"/>
        <v>46403</v>
      </c>
      <c r="B323" s="3" t="str">
        <f>TEXT(calendar[[#This Row],[date]], "yymmdd")</f>
        <v>270116</v>
      </c>
      <c r="C323" s="4">
        <f>DATEDIF("1/1/2024", calendar[[#This Row],[date]], "M")</f>
        <v>36</v>
      </c>
      <c r="D323" s="3" t="str">
        <f>TEXT(calendar[[#This Row],[date]], "dd")</f>
        <v>16</v>
      </c>
      <c r="E323" s="1">
        <f>IF(OR(WEEKDAY(calendar[[#This Row],[date]])= 1, WEEKDAY(calendar[[#This Row],[date]])=7), 0, 1)</f>
        <v>0</v>
      </c>
      <c r="F323">
        <f t="shared" si="25"/>
        <v>2</v>
      </c>
      <c r="G323" t="str">
        <f t="shared" si="26"/>
        <v>202701</v>
      </c>
      <c r="H323" s="5">
        <f t="shared" si="27"/>
        <v>21</v>
      </c>
      <c r="I323">
        <f t="shared" ref="I323:I366" si="28">H323/5</f>
        <v>4.2</v>
      </c>
    </row>
    <row r="324" spans="1:9">
      <c r="A324" s="3">
        <f t="shared" ref="A324:A366" si="29">A323+1</f>
        <v>46404</v>
      </c>
      <c r="B324" s="3" t="str">
        <f>TEXT(calendar[[#This Row],[date]], "yymmdd")</f>
        <v>270117</v>
      </c>
      <c r="C324" s="4">
        <f>DATEDIF("1/1/2024", calendar[[#This Row],[date]], "M")</f>
        <v>36</v>
      </c>
      <c r="D324" s="3" t="str">
        <f>TEXT(calendar[[#This Row],[date]], "dd")</f>
        <v>17</v>
      </c>
      <c r="E324" s="1">
        <f>IF(OR(WEEKDAY(calendar[[#This Row],[date]])= 1, WEEKDAY(calendar[[#This Row],[date]])=7), 0, 1)</f>
        <v>0</v>
      </c>
      <c r="F324">
        <f t="shared" si="25"/>
        <v>2</v>
      </c>
      <c r="G324" t="str">
        <f t="shared" si="26"/>
        <v>202701</v>
      </c>
      <c r="H324" s="5">
        <f t="shared" si="27"/>
        <v>21</v>
      </c>
      <c r="I324">
        <f t="shared" si="28"/>
        <v>4.2</v>
      </c>
    </row>
    <row r="325" spans="1:9">
      <c r="A325" s="3">
        <f t="shared" si="29"/>
        <v>46405</v>
      </c>
      <c r="B325" s="3" t="str">
        <f>TEXT(calendar[[#This Row],[date]], "yymmdd")</f>
        <v>270118</v>
      </c>
      <c r="C325" s="4">
        <f>DATEDIF("1/1/2024", calendar[[#This Row],[date]], "M")</f>
        <v>36</v>
      </c>
      <c r="D325" s="3" t="str">
        <f>TEXT(calendar[[#This Row],[date]], "dd")</f>
        <v>18</v>
      </c>
      <c r="E325" s="1">
        <f>IF(OR(WEEKDAY(calendar[[#This Row],[date]])= 1, WEEKDAY(calendar[[#This Row],[date]])=7), 0, 1)</f>
        <v>1</v>
      </c>
      <c r="F325">
        <f t="shared" si="25"/>
        <v>3</v>
      </c>
      <c r="G325" t="str">
        <f t="shared" si="26"/>
        <v>202701</v>
      </c>
      <c r="H325" s="5">
        <f t="shared" si="27"/>
        <v>21</v>
      </c>
      <c r="I325">
        <f t="shared" si="28"/>
        <v>4.2</v>
      </c>
    </row>
    <row r="326" spans="1:9">
      <c r="A326" s="3">
        <f t="shared" si="29"/>
        <v>46406</v>
      </c>
      <c r="B326" s="3" t="str">
        <f>TEXT(calendar[[#This Row],[date]], "yymmdd")</f>
        <v>270119</v>
      </c>
      <c r="C326" s="4">
        <f>DATEDIF("1/1/2024", calendar[[#This Row],[date]], "M")</f>
        <v>36</v>
      </c>
      <c r="D326" s="3" t="str">
        <f>TEXT(calendar[[#This Row],[date]], "dd")</f>
        <v>19</v>
      </c>
      <c r="E326" s="1">
        <f>IF(OR(WEEKDAY(calendar[[#This Row],[date]])= 1, WEEKDAY(calendar[[#This Row],[date]])=7), 0, 1)</f>
        <v>1</v>
      </c>
      <c r="F326">
        <f t="shared" si="25"/>
        <v>3</v>
      </c>
      <c r="G326" t="str">
        <f t="shared" si="26"/>
        <v>202701</v>
      </c>
      <c r="H326" s="5">
        <f t="shared" si="27"/>
        <v>21</v>
      </c>
      <c r="I326">
        <f t="shared" si="28"/>
        <v>4.2</v>
      </c>
    </row>
    <row r="327" spans="1:9">
      <c r="A327" s="3">
        <f t="shared" si="29"/>
        <v>46407</v>
      </c>
      <c r="B327" s="3" t="str">
        <f>TEXT(calendar[[#This Row],[date]], "yymmdd")</f>
        <v>270120</v>
      </c>
      <c r="C327" s="4">
        <f>DATEDIF("1/1/2024", calendar[[#This Row],[date]], "M")</f>
        <v>36</v>
      </c>
      <c r="D327" s="3" t="str">
        <f>TEXT(calendar[[#This Row],[date]], "dd")</f>
        <v>20</v>
      </c>
      <c r="E327" s="1">
        <f>IF(OR(WEEKDAY(calendar[[#This Row],[date]])= 1, WEEKDAY(calendar[[#This Row],[date]])=7), 0, 1)</f>
        <v>1</v>
      </c>
      <c r="F327">
        <f t="shared" si="25"/>
        <v>3</v>
      </c>
      <c r="G327" t="str">
        <f t="shared" si="26"/>
        <v>202701</v>
      </c>
      <c r="H327" s="5">
        <f t="shared" si="27"/>
        <v>21</v>
      </c>
      <c r="I327">
        <f t="shared" si="28"/>
        <v>4.2</v>
      </c>
    </row>
    <row r="328" spans="1:9">
      <c r="A328" s="3">
        <f t="shared" si="29"/>
        <v>46408</v>
      </c>
      <c r="B328" s="3" t="str">
        <f>TEXT(calendar[[#This Row],[date]], "yymmdd")</f>
        <v>270121</v>
      </c>
      <c r="C328" s="4">
        <f>DATEDIF("1/1/2024", calendar[[#This Row],[date]], "M")</f>
        <v>36</v>
      </c>
      <c r="D328" s="3" t="str">
        <f>TEXT(calendar[[#This Row],[date]], "dd")</f>
        <v>21</v>
      </c>
      <c r="E328" s="1">
        <f>IF(OR(WEEKDAY(calendar[[#This Row],[date]])= 1, WEEKDAY(calendar[[#This Row],[date]])=7), 0, 1)</f>
        <v>1</v>
      </c>
      <c r="F328">
        <f t="shared" si="25"/>
        <v>3</v>
      </c>
      <c r="G328" t="str">
        <f t="shared" si="26"/>
        <v>202701</v>
      </c>
      <c r="H328" s="5">
        <f t="shared" si="27"/>
        <v>21</v>
      </c>
      <c r="I328">
        <f t="shared" si="28"/>
        <v>4.2</v>
      </c>
    </row>
    <row r="329" spans="1:9">
      <c r="A329" s="3">
        <f t="shared" si="29"/>
        <v>46409</v>
      </c>
      <c r="B329" s="3" t="str">
        <f>TEXT(calendar[[#This Row],[date]], "yymmdd")</f>
        <v>270122</v>
      </c>
      <c r="C329" s="4">
        <f>DATEDIF("1/1/2024", calendar[[#This Row],[date]], "M")</f>
        <v>36</v>
      </c>
      <c r="D329" s="3" t="str">
        <f>TEXT(calendar[[#This Row],[date]], "dd")</f>
        <v>22</v>
      </c>
      <c r="E329" s="1">
        <f>IF(OR(WEEKDAY(calendar[[#This Row],[date]])= 1, WEEKDAY(calendar[[#This Row],[date]])=7), 0, 1)</f>
        <v>1</v>
      </c>
      <c r="F329">
        <f t="shared" si="25"/>
        <v>3</v>
      </c>
      <c r="G329" t="str">
        <f t="shared" si="26"/>
        <v>202701</v>
      </c>
      <c r="H329" s="5">
        <f t="shared" si="27"/>
        <v>21</v>
      </c>
      <c r="I329">
        <f t="shared" si="28"/>
        <v>4.2</v>
      </c>
    </row>
    <row r="330" spans="1:9">
      <c r="A330" s="3">
        <f t="shared" si="29"/>
        <v>46410</v>
      </c>
      <c r="B330" s="3" t="str">
        <f>TEXT(calendar[[#This Row],[date]], "yymmdd")</f>
        <v>270123</v>
      </c>
      <c r="C330" s="4">
        <f>DATEDIF("1/1/2024", calendar[[#This Row],[date]], "M")</f>
        <v>36</v>
      </c>
      <c r="D330" s="3" t="str">
        <f>TEXT(calendar[[#This Row],[date]], "dd")</f>
        <v>23</v>
      </c>
      <c r="E330" s="1">
        <f>IF(OR(WEEKDAY(calendar[[#This Row],[date]])= 1, WEEKDAY(calendar[[#This Row],[date]])=7), 0, 1)</f>
        <v>0</v>
      </c>
      <c r="F330">
        <f t="shared" si="25"/>
        <v>3</v>
      </c>
      <c r="G330" t="str">
        <f t="shared" si="26"/>
        <v>202701</v>
      </c>
      <c r="H330" s="5">
        <f t="shared" si="27"/>
        <v>21</v>
      </c>
      <c r="I330">
        <f t="shared" si="28"/>
        <v>4.2</v>
      </c>
    </row>
    <row r="331" spans="1:9">
      <c r="A331" s="3">
        <f t="shared" si="29"/>
        <v>46411</v>
      </c>
      <c r="B331" s="3" t="str">
        <f>TEXT(calendar[[#This Row],[date]], "yymmdd")</f>
        <v>270124</v>
      </c>
      <c r="C331" s="4">
        <f>DATEDIF("1/1/2024", calendar[[#This Row],[date]], "M")</f>
        <v>36</v>
      </c>
      <c r="D331" s="3" t="str">
        <f>TEXT(calendar[[#This Row],[date]], "dd")</f>
        <v>24</v>
      </c>
      <c r="E331" s="1">
        <f>IF(OR(WEEKDAY(calendar[[#This Row],[date]])= 1, WEEKDAY(calendar[[#This Row],[date]])=7), 0, 1)</f>
        <v>0</v>
      </c>
      <c r="F331">
        <f t="shared" si="25"/>
        <v>3</v>
      </c>
      <c r="G331" t="str">
        <f t="shared" si="26"/>
        <v>202701</v>
      </c>
      <c r="H331" s="5">
        <f t="shared" si="27"/>
        <v>21</v>
      </c>
      <c r="I331">
        <f t="shared" si="28"/>
        <v>4.2</v>
      </c>
    </row>
    <row r="332" spans="1:9">
      <c r="A332" s="3">
        <f t="shared" si="29"/>
        <v>46412</v>
      </c>
      <c r="B332" s="3" t="str">
        <f>TEXT(calendar[[#This Row],[date]], "yymmdd")</f>
        <v>270125</v>
      </c>
      <c r="C332" s="4">
        <f>DATEDIF("1/1/2024", calendar[[#This Row],[date]], "M")</f>
        <v>36</v>
      </c>
      <c r="D332" s="3" t="str">
        <f>TEXT(calendar[[#This Row],[date]], "dd")</f>
        <v>25</v>
      </c>
      <c r="E332" s="1">
        <f>IF(OR(WEEKDAY(calendar[[#This Row],[date]])= 1, WEEKDAY(calendar[[#This Row],[date]])=7), 0, 1)</f>
        <v>1</v>
      </c>
      <c r="F332">
        <f t="shared" si="25"/>
        <v>4</v>
      </c>
      <c r="G332" t="str">
        <f t="shared" si="26"/>
        <v>202701</v>
      </c>
      <c r="H332" s="5">
        <f t="shared" si="27"/>
        <v>21</v>
      </c>
      <c r="I332">
        <f t="shared" si="28"/>
        <v>4.2</v>
      </c>
    </row>
    <row r="333" spans="1:9">
      <c r="A333" s="3">
        <f t="shared" si="29"/>
        <v>46413</v>
      </c>
      <c r="B333" s="3" t="str">
        <f>TEXT(calendar[[#This Row],[date]], "yymmdd")</f>
        <v>270126</v>
      </c>
      <c r="C333" s="4">
        <f>DATEDIF("1/1/2024", calendar[[#This Row],[date]], "M")</f>
        <v>36</v>
      </c>
      <c r="D333" s="3" t="str">
        <f>TEXT(calendar[[#This Row],[date]], "dd")</f>
        <v>26</v>
      </c>
      <c r="E333" s="1">
        <f>IF(OR(WEEKDAY(calendar[[#This Row],[date]])= 1, WEEKDAY(calendar[[#This Row],[date]])=7), 0, 1)</f>
        <v>1</v>
      </c>
      <c r="F333">
        <f t="shared" si="25"/>
        <v>4</v>
      </c>
      <c r="G333" t="str">
        <f t="shared" si="26"/>
        <v>202701</v>
      </c>
      <c r="H333" s="5">
        <f t="shared" si="27"/>
        <v>21</v>
      </c>
      <c r="I333">
        <f t="shared" si="28"/>
        <v>4.2</v>
      </c>
    </row>
    <row r="334" spans="1:9">
      <c r="A334" s="3">
        <f t="shared" si="29"/>
        <v>46414</v>
      </c>
      <c r="B334" s="3" t="str">
        <f>TEXT(calendar[[#This Row],[date]], "yymmdd")</f>
        <v>270127</v>
      </c>
      <c r="C334" s="4">
        <f>DATEDIF("1/1/2024", calendar[[#This Row],[date]], "M")</f>
        <v>36</v>
      </c>
      <c r="D334" s="3" t="str">
        <f>TEXT(calendar[[#This Row],[date]], "dd")</f>
        <v>27</v>
      </c>
      <c r="E334" s="1">
        <f>IF(OR(WEEKDAY(calendar[[#This Row],[date]])= 1, WEEKDAY(calendar[[#This Row],[date]])=7), 0, 1)</f>
        <v>1</v>
      </c>
      <c r="F334">
        <f t="shared" si="25"/>
        <v>4</v>
      </c>
      <c r="G334" t="str">
        <f t="shared" si="26"/>
        <v>202701</v>
      </c>
      <c r="H334" s="5">
        <f t="shared" si="27"/>
        <v>21</v>
      </c>
      <c r="I334">
        <f t="shared" si="28"/>
        <v>4.2</v>
      </c>
    </row>
    <row r="335" spans="1:9">
      <c r="A335" s="3">
        <f t="shared" si="29"/>
        <v>46415</v>
      </c>
      <c r="B335" s="3" t="str">
        <f>TEXT(calendar[[#This Row],[date]], "yymmdd")</f>
        <v>270128</v>
      </c>
      <c r="C335" s="4">
        <f>DATEDIF("1/1/2024", calendar[[#This Row],[date]], "M")</f>
        <v>36</v>
      </c>
      <c r="D335" s="3" t="str">
        <f>TEXT(calendar[[#This Row],[date]], "dd")</f>
        <v>28</v>
      </c>
      <c r="E335" s="1">
        <f>IF(OR(WEEKDAY(calendar[[#This Row],[date]])= 1, WEEKDAY(calendar[[#This Row],[date]])=7), 0, 1)</f>
        <v>1</v>
      </c>
      <c r="F335">
        <f t="shared" si="25"/>
        <v>4</v>
      </c>
      <c r="G335" t="str">
        <f t="shared" si="26"/>
        <v>202701</v>
      </c>
      <c r="H335" s="5">
        <f t="shared" si="27"/>
        <v>21</v>
      </c>
      <c r="I335">
        <f t="shared" si="28"/>
        <v>4.2</v>
      </c>
    </row>
    <row r="336" spans="1:9">
      <c r="A336" s="3">
        <f t="shared" si="29"/>
        <v>46416</v>
      </c>
      <c r="B336" s="3" t="str">
        <f>TEXT(calendar[[#This Row],[date]], "yymmdd")</f>
        <v>270129</v>
      </c>
      <c r="C336" s="4">
        <f>DATEDIF("1/1/2024", calendar[[#This Row],[date]], "M")</f>
        <v>36</v>
      </c>
      <c r="D336" s="3" t="str">
        <f>TEXT(calendar[[#This Row],[date]], "dd")</f>
        <v>29</v>
      </c>
      <c r="E336" s="1">
        <f>IF(OR(WEEKDAY(calendar[[#This Row],[date]])= 1, WEEKDAY(calendar[[#This Row],[date]])=7), 0, 1)</f>
        <v>1</v>
      </c>
      <c r="F336">
        <f t="shared" si="25"/>
        <v>4</v>
      </c>
      <c r="G336" t="str">
        <f t="shared" si="26"/>
        <v>202701</v>
      </c>
      <c r="H336" s="5">
        <f t="shared" si="27"/>
        <v>21</v>
      </c>
      <c r="I336">
        <f t="shared" si="28"/>
        <v>4.2</v>
      </c>
    </row>
    <row r="337" spans="1:9">
      <c r="A337" s="3">
        <f t="shared" si="29"/>
        <v>46417</v>
      </c>
      <c r="B337" s="3" t="str">
        <f>TEXT(calendar[[#This Row],[date]], "yymmdd")</f>
        <v>270130</v>
      </c>
      <c r="C337" s="4">
        <f>DATEDIF("1/1/2024", calendar[[#This Row],[date]], "M")</f>
        <v>36</v>
      </c>
      <c r="D337" s="3" t="str">
        <f>TEXT(calendar[[#This Row],[date]], "dd")</f>
        <v>30</v>
      </c>
      <c r="E337" s="1">
        <f>IF(OR(WEEKDAY(calendar[[#This Row],[date]])= 1, WEEKDAY(calendar[[#This Row],[date]])=7), 0, 1)</f>
        <v>0</v>
      </c>
      <c r="F337">
        <f t="shared" si="25"/>
        <v>4</v>
      </c>
      <c r="G337" t="str">
        <f t="shared" si="26"/>
        <v>202701</v>
      </c>
      <c r="H337" s="5">
        <f t="shared" si="27"/>
        <v>21</v>
      </c>
      <c r="I337">
        <f t="shared" si="28"/>
        <v>4.2</v>
      </c>
    </row>
    <row r="338" spans="1:9">
      <c r="A338" s="3">
        <f t="shared" si="29"/>
        <v>46418</v>
      </c>
      <c r="B338" s="3" t="str">
        <f>TEXT(calendar[[#This Row],[date]], "yymmdd")</f>
        <v>270131</v>
      </c>
      <c r="C338" s="4">
        <f>DATEDIF("1/1/2024", calendar[[#This Row],[date]], "M")</f>
        <v>36</v>
      </c>
      <c r="D338" s="3" t="str">
        <f>TEXT(calendar[[#This Row],[date]], "dd")</f>
        <v>31</v>
      </c>
      <c r="E338" s="1">
        <f>IF(OR(WEEKDAY(calendar[[#This Row],[date]])= 1, WEEKDAY(calendar[[#This Row],[date]])=7), 0, 1)</f>
        <v>0</v>
      </c>
      <c r="F338">
        <f t="shared" si="25"/>
        <v>4</v>
      </c>
      <c r="G338" t="str">
        <f t="shared" si="26"/>
        <v>202701</v>
      </c>
      <c r="H338" s="5">
        <f t="shared" si="27"/>
        <v>21</v>
      </c>
      <c r="I338">
        <f t="shared" si="28"/>
        <v>4.2</v>
      </c>
    </row>
    <row r="339" spans="1:9">
      <c r="A339" s="3">
        <f t="shared" si="29"/>
        <v>46419</v>
      </c>
      <c r="B339" s="3" t="str">
        <f>TEXT(calendar[[#This Row],[date]], "yymmdd")</f>
        <v>270201</v>
      </c>
      <c r="C339" s="4">
        <f>DATEDIF("1/1/2024", calendar[[#This Row],[date]], "M")</f>
        <v>37</v>
      </c>
      <c r="D339" s="3" t="str">
        <f>TEXT(calendar[[#This Row],[date]], "dd")</f>
        <v>01</v>
      </c>
      <c r="E339" s="1">
        <f>IF(OR(WEEKDAY(calendar[[#This Row],[date]])= 1, WEEKDAY(calendar[[#This Row],[date]])=7), 0, 1)</f>
        <v>1</v>
      </c>
      <c r="F339">
        <f t="shared" si="25"/>
        <v>5</v>
      </c>
      <c r="G339" t="str">
        <f t="shared" si="26"/>
        <v>202702</v>
      </c>
      <c r="H339" s="5">
        <f t="shared" si="27"/>
        <v>20</v>
      </c>
      <c r="I339">
        <f t="shared" si="28"/>
        <v>4</v>
      </c>
    </row>
    <row r="340" spans="1:9">
      <c r="A340" s="3">
        <f t="shared" si="29"/>
        <v>46420</v>
      </c>
      <c r="B340" s="3" t="str">
        <f>TEXT(calendar[[#This Row],[date]], "yymmdd")</f>
        <v>270202</v>
      </c>
      <c r="C340" s="4">
        <f>DATEDIF("1/1/2024", calendar[[#This Row],[date]], "M")</f>
        <v>37</v>
      </c>
      <c r="D340" s="3" t="str">
        <f>TEXT(calendar[[#This Row],[date]], "dd")</f>
        <v>02</v>
      </c>
      <c r="E340" s="1">
        <f>IF(OR(WEEKDAY(calendar[[#This Row],[date]])= 1, WEEKDAY(calendar[[#This Row],[date]])=7), 0, 1)</f>
        <v>1</v>
      </c>
      <c r="F340">
        <f t="shared" si="25"/>
        <v>5</v>
      </c>
      <c r="G340" t="str">
        <f t="shared" si="26"/>
        <v>202702</v>
      </c>
      <c r="H340" s="5">
        <f t="shared" si="27"/>
        <v>20</v>
      </c>
      <c r="I340">
        <f t="shared" si="28"/>
        <v>4</v>
      </c>
    </row>
    <row r="341" spans="1:9">
      <c r="A341" s="3">
        <f t="shared" si="29"/>
        <v>46421</v>
      </c>
      <c r="B341" s="3" t="str">
        <f>TEXT(calendar[[#This Row],[date]], "yymmdd")</f>
        <v>270203</v>
      </c>
      <c r="C341" s="4">
        <f>DATEDIF("1/1/2024", calendar[[#This Row],[date]], "M")</f>
        <v>37</v>
      </c>
      <c r="D341" s="3" t="str">
        <f>TEXT(calendar[[#This Row],[date]], "dd")</f>
        <v>03</v>
      </c>
      <c r="E341" s="1">
        <f>IF(OR(WEEKDAY(calendar[[#This Row],[date]])= 1, WEEKDAY(calendar[[#This Row],[date]])=7), 0, 1)</f>
        <v>1</v>
      </c>
      <c r="F341">
        <f t="shared" si="25"/>
        <v>5</v>
      </c>
      <c r="G341" t="str">
        <f t="shared" si="26"/>
        <v>202702</v>
      </c>
      <c r="H341" s="5">
        <f t="shared" si="27"/>
        <v>20</v>
      </c>
      <c r="I341">
        <f t="shared" si="28"/>
        <v>4</v>
      </c>
    </row>
    <row r="342" spans="1:9">
      <c r="A342" s="3">
        <f t="shared" si="29"/>
        <v>46422</v>
      </c>
      <c r="B342" s="3" t="str">
        <f>TEXT(calendar[[#This Row],[date]], "yymmdd")</f>
        <v>270204</v>
      </c>
      <c r="C342" s="4">
        <f>DATEDIF("1/1/2024", calendar[[#This Row],[date]], "M")</f>
        <v>37</v>
      </c>
      <c r="D342" s="3" t="str">
        <f>TEXT(calendar[[#This Row],[date]], "dd")</f>
        <v>04</v>
      </c>
      <c r="E342" s="1">
        <f>IF(OR(WEEKDAY(calendar[[#This Row],[date]])= 1, WEEKDAY(calendar[[#This Row],[date]])=7), 0, 1)</f>
        <v>1</v>
      </c>
      <c r="F342">
        <f t="shared" si="25"/>
        <v>5</v>
      </c>
      <c r="G342" t="str">
        <f t="shared" si="26"/>
        <v>202702</v>
      </c>
      <c r="H342" s="5">
        <f t="shared" si="27"/>
        <v>20</v>
      </c>
      <c r="I342">
        <f t="shared" si="28"/>
        <v>4</v>
      </c>
    </row>
    <row r="343" spans="1:9">
      <c r="A343" s="3">
        <f t="shared" si="29"/>
        <v>46423</v>
      </c>
      <c r="B343" s="3" t="str">
        <f>TEXT(calendar[[#This Row],[date]], "yymmdd")</f>
        <v>270205</v>
      </c>
      <c r="C343" s="4">
        <f>DATEDIF("1/1/2024", calendar[[#This Row],[date]], "M")</f>
        <v>37</v>
      </c>
      <c r="D343" s="3" t="str">
        <f>TEXT(calendar[[#This Row],[date]], "dd")</f>
        <v>05</v>
      </c>
      <c r="E343" s="1">
        <f>IF(OR(WEEKDAY(calendar[[#This Row],[date]])= 1, WEEKDAY(calendar[[#This Row],[date]])=7), 0, 1)</f>
        <v>1</v>
      </c>
      <c r="F343">
        <f t="shared" si="25"/>
        <v>5</v>
      </c>
      <c r="G343" t="str">
        <f t="shared" si="26"/>
        <v>202702</v>
      </c>
      <c r="H343" s="5">
        <f t="shared" si="27"/>
        <v>20</v>
      </c>
      <c r="I343">
        <f t="shared" si="28"/>
        <v>4</v>
      </c>
    </row>
    <row r="344" spans="1:9">
      <c r="A344" s="3">
        <f t="shared" si="29"/>
        <v>46424</v>
      </c>
      <c r="B344" s="3" t="str">
        <f>TEXT(calendar[[#This Row],[date]], "yymmdd")</f>
        <v>270206</v>
      </c>
      <c r="C344" s="4">
        <f>DATEDIF("1/1/2024", calendar[[#This Row],[date]], "M")</f>
        <v>37</v>
      </c>
      <c r="D344" s="3" t="str">
        <f>TEXT(calendar[[#This Row],[date]], "dd")</f>
        <v>06</v>
      </c>
      <c r="E344" s="1">
        <f>IF(OR(WEEKDAY(calendar[[#This Row],[date]])= 1, WEEKDAY(calendar[[#This Row],[date]])=7), 0, 1)</f>
        <v>0</v>
      </c>
      <c r="F344">
        <f t="shared" si="25"/>
        <v>5</v>
      </c>
      <c r="G344" t="str">
        <f t="shared" si="26"/>
        <v>202702</v>
      </c>
      <c r="H344" s="5">
        <f t="shared" si="27"/>
        <v>20</v>
      </c>
      <c r="I344">
        <f t="shared" si="28"/>
        <v>4</v>
      </c>
    </row>
    <row r="345" spans="1:9">
      <c r="A345" s="3">
        <f t="shared" si="29"/>
        <v>46425</v>
      </c>
      <c r="B345" s="3" t="str">
        <f>TEXT(calendar[[#This Row],[date]], "yymmdd")</f>
        <v>270207</v>
      </c>
      <c r="C345" s="4">
        <f>DATEDIF("1/1/2024", calendar[[#This Row],[date]], "M")</f>
        <v>37</v>
      </c>
      <c r="D345" s="3" t="str">
        <f>TEXT(calendar[[#This Row],[date]], "dd")</f>
        <v>07</v>
      </c>
      <c r="E345" s="1">
        <f>IF(OR(WEEKDAY(calendar[[#This Row],[date]])= 1, WEEKDAY(calendar[[#This Row],[date]])=7), 0, 1)</f>
        <v>0</v>
      </c>
      <c r="F345">
        <f t="shared" si="25"/>
        <v>5</v>
      </c>
      <c r="G345" t="str">
        <f t="shared" si="26"/>
        <v>202702</v>
      </c>
      <c r="H345" s="5">
        <f t="shared" si="27"/>
        <v>20</v>
      </c>
      <c r="I345">
        <f t="shared" si="28"/>
        <v>4</v>
      </c>
    </row>
    <row r="346" spans="1:9">
      <c r="A346" s="3">
        <f t="shared" si="29"/>
        <v>46426</v>
      </c>
      <c r="B346" s="3" t="str">
        <f>TEXT(calendar[[#This Row],[date]], "yymmdd")</f>
        <v>270208</v>
      </c>
      <c r="C346" s="4">
        <f>DATEDIF("1/1/2024", calendar[[#This Row],[date]], "M")</f>
        <v>37</v>
      </c>
      <c r="D346" s="3" t="str">
        <f>TEXT(calendar[[#This Row],[date]], "dd")</f>
        <v>08</v>
      </c>
      <c r="E346" s="1">
        <f>IF(OR(WEEKDAY(calendar[[#This Row],[date]])= 1, WEEKDAY(calendar[[#This Row],[date]])=7), 0, 1)</f>
        <v>1</v>
      </c>
      <c r="F346">
        <f t="shared" si="25"/>
        <v>6</v>
      </c>
      <c r="G346" t="str">
        <f t="shared" si="26"/>
        <v>202702</v>
      </c>
      <c r="H346" s="5">
        <f t="shared" si="27"/>
        <v>20</v>
      </c>
      <c r="I346">
        <f t="shared" si="28"/>
        <v>4</v>
      </c>
    </row>
    <row r="347" spans="1:9">
      <c r="A347" s="3">
        <f t="shared" si="29"/>
        <v>46427</v>
      </c>
      <c r="B347" s="3" t="str">
        <f>TEXT(calendar[[#This Row],[date]], "yymmdd")</f>
        <v>270209</v>
      </c>
      <c r="C347" s="4">
        <f>DATEDIF("1/1/2024", calendar[[#This Row],[date]], "M")</f>
        <v>37</v>
      </c>
      <c r="D347" s="3" t="str">
        <f>TEXT(calendar[[#This Row],[date]], "dd")</f>
        <v>09</v>
      </c>
      <c r="E347" s="1">
        <f>IF(OR(WEEKDAY(calendar[[#This Row],[date]])= 1, WEEKDAY(calendar[[#This Row],[date]])=7), 0, 1)</f>
        <v>1</v>
      </c>
      <c r="F347">
        <f t="shared" si="25"/>
        <v>6</v>
      </c>
      <c r="G347" t="str">
        <f t="shared" si="26"/>
        <v>202702</v>
      </c>
      <c r="H347" s="5">
        <f t="shared" si="27"/>
        <v>20</v>
      </c>
      <c r="I347">
        <f t="shared" si="28"/>
        <v>4</v>
      </c>
    </row>
    <row r="348" spans="1:9">
      <c r="A348" s="3">
        <f t="shared" si="29"/>
        <v>46428</v>
      </c>
      <c r="B348" s="3" t="str">
        <f>TEXT(calendar[[#This Row],[date]], "yymmdd")</f>
        <v>270210</v>
      </c>
      <c r="C348" s="4">
        <f>DATEDIF("1/1/2024", calendar[[#This Row],[date]], "M")</f>
        <v>37</v>
      </c>
      <c r="D348" s="3" t="str">
        <f>TEXT(calendar[[#This Row],[date]], "dd")</f>
        <v>10</v>
      </c>
      <c r="E348" s="1">
        <f>IF(OR(WEEKDAY(calendar[[#This Row],[date]])= 1, WEEKDAY(calendar[[#This Row],[date]])=7), 0, 1)</f>
        <v>1</v>
      </c>
      <c r="F348">
        <f t="shared" si="25"/>
        <v>6</v>
      </c>
      <c r="G348" t="str">
        <f t="shared" si="26"/>
        <v>202702</v>
      </c>
      <c r="H348" s="5">
        <f t="shared" si="27"/>
        <v>20</v>
      </c>
      <c r="I348">
        <f t="shared" si="28"/>
        <v>4</v>
      </c>
    </row>
    <row r="349" spans="1:9">
      <c r="A349" s="3">
        <f t="shared" si="29"/>
        <v>46429</v>
      </c>
      <c r="B349" s="3" t="str">
        <f>TEXT(calendar[[#This Row],[date]], "yymmdd")</f>
        <v>270211</v>
      </c>
      <c r="C349" s="4">
        <f>DATEDIF("1/1/2024", calendar[[#This Row],[date]], "M")</f>
        <v>37</v>
      </c>
      <c r="D349" s="3" t="str">
        <f>TEXT(calendar[[#This Row],[date]], "dd")</f>
        <v>11</v>
      </c>
      <c r="E349" s="1">
        <f>IF(OR(WEEKDAY(calendar[[#This Row],[date]])= 1, WEEKDAY(calendar[[#This Row],[date]])=7), 0, 1)</f>
        <v>1</v>
      </c>
      <c r="F349">
        <f t="shared" si="25"/>
        <v>6</v>
      </c>
      <c r="G349" t="str">
        <f t="shared" si="26"/>
        <v>202702</v>
      </c>
      <c r="H349" s="5">
        <f t="shared" si="27"/>
        <v>20</v>
      </c>
      <c r="I349">
        <f t="shared" si="28"/>
        <v>4</v>
      </c>
    </row>
    <row r="350" spans="1:9">
      <c r="A350" s="3">
        <f t="shared" si="29"/>
        <v>46430</v>
      </c>
      <c r="B350" s="3" t="str">
        <f>TEXT(calendar[[#This Row],[date]], "yymmdd")</f>
        <v>270212</v>
      </c>
      <c r="C350" s="4">
        <f>DATEDIF("1/1/2024", calendar[[#This Row],[date]], "M")</f>
        <v>37</v>
      </c>
      <c r="D350" s="3" t="str">
        <f>TEXT(calendar[[#This Row],[date]], "dd")</f>
        <v>12</v>
      </c>
      <c r="E350" s="1">
        <f>IF(OR(WEEKDAY(calendar[[#This Row],[date]])= 1, WEEKDAY(calendar[[#This Row],[date]])=7), 0, 1)</f>
        <v>1</v>
      </c>
      <c r="F350">
        <f t="shared" si="25"/>
        <v>6</v>
      </c>
      <c r="G350" t="str">
        <f t="shared" si="26"/>
        <v>202702</v>
      </c>
      <c r="H350" s="5">
        <f t="shared" si="27"/>
        <v>20</v>
      </c>
      <c r="I350">
        <f t="shared" si="28"/>
        <v>4</v>
      </c>
    </row>
    <row r="351" spans="1:9">
      <c r="A351" s="3">
        <f t="shared" si="29"/>
        <v>46431</v>
      </c>
      <c r="B351" s="3" t="str">
        <f>TEXT(calendar[[#This Row],[date]], "yymmdd")</f>
        <v>270213</v>
      </c>
      <c r="C351" s="4">
        <f>DATEDIF("1/1/2024", calendar[[#This Row],[date]], "M")</f>
        <v>37</v>
      </c>
      <c r="D351" s="3" t="str">
        <f>TEXT(calendar[[#This Row],[date]], "dd")</f>
        <v>13</v>
      </c>
      <c r="E351" s="1">
        <f>IF(OR(WEEKDAY(calendar[[#This Row],[date]])= 1, WEEKDAY(calendar[[#This Row],[date]])=7), 0, 1)</f>
        <v>0</v>
      </c>
      <c r="F351">
        <f t="shared" si="25"/>
        <v>6</v>
      </c>
      <c r="G351" t="str">
        <f t="shared" si="26"/>
        <v>202702</v>
      </c>
      <c r="H351" s="5">
        <f t="shared" si="27"/>
        <v>20</v>
      </c>
      <c r="I351">
        <f t="shared" si="28"/>
        <v>4</v>
      </c>
    </row>
    <row r="352" spans="1:9">
      <c r="A352" s="3">
        <f t="shared" si="29"/>
        <v>46432</v>
      </c>
      <c r="B352" s="3" t="str">
        <f>TEXT(calendar[[#This Row],[date]], "yymmdd")</f>
        <v>270214</v>
      </c>
      <c r="C352" s="4">
        <f>DATEDIF("1/1/2024", calendar[[#This Row],[date]], "M")</f>
        <v>37</v>
      </c>
      <c r="D352" s="3" t="str">
        <f>TEXT(calendar[[#This Row],[date]], "dd")</f>
        <v>14</v>
      </c>
      <c r="E352" s="1">
        <f>IF(OR(WEEKDAY(calendar[[#This Row],[date]])= 1, WEEKDAY(calendar[[#This Row],[date]])=7), 0, 1)</f>
        <v>0</v>
      </c>
      <c r="F352">
        <f t="shared" si="25"/>
        <v>6</v>
      </c>
      <c r="G352" t="str">
        <f t="shared" si="26"/>
        <v>202702</v>
      </c>
      <c r="H352" s="5">
        <f t="shared" si="27"/>
        <v>20</v>
      </c>
      <c r="I352">
        <f t="shared" si="28"/>
        <v>4</v>
      </c>
    </row>
    <row r="353" spans="1:9">
      <c r="A353" s="3">
        <f t="shared" si="29"/>
        <v>46433</v>
      </c>
      <c r="B353" s="3" t="str">
        <f>TEXT(calendar[[#This Row],[date]], "yymmdd")</f>
        <v>270215</v>
      </c>
      <c r="C353" s="4">
        <f>DATEDIF("1/1/2024", calendar[[#This Row],[date]], "M")</f>
        <v>37</v>
      </c>
      <c r="D353" s="3" t="str">
        <f>TEXT(calendar[[#This Row],[date]], "dd")</f>
        <v>15</v>
      </c>
      <c r="E353" s="1">
        <f>IF(OR(WEEKDAY(calendar[[#This Row],[date]])= 1, WEEKDAY(calendar[[#This Row],[date]])=7), 0, 1)</f>
        <v>1</v>
      </c>
      <c r="F353">
        <f t="shared" si="25"/>
        <v>7</v>
      </c>
      <c r="G353" t="str">
        <f t="shared" si="26"/>
        <v>202702</v>
      </c>
      <c r="H353" s="5">
        <f t="shared" si="27"/>
        <v>20</v>
      </c>
      <c r="I353">
        <f t="shared" si="28"/>
        <v>4</v>
      </c>
    </row>
    <row r="354" spans="1:9">
      <c r="A354" s="3">
        <f t="shared" si="29"/>
        <v>46434</v>
      </c>
      <c r="B354" s="3" t="str">
        <f>TEXT(calendar[[#This Row],[date]], "yymmdd")</f>
        <v>270216</v>
      </c>
      <c r="C354" s="4">
        <f>DATEDIF("1/1/2024", calendar[[#This Row],[date]], "M")</f>
        <v>37</v>
      </c>
      <c r="D354" s="3" t="str">
        <f>TEXT(calendar[[#This Row],[date]], "dd")</f>
        <v>16</v>
      </c>
      <c r="E354" s="1">
        <f>IF(OR(WEEKDAY(calendar[[#This Row],[date]])= 1, WEEKDAY(calendar[[#This Row],[date]])=7), 0, 1)</f>
        <v>1</v>
      </c>
      <c r="F354">
        <f t="shared" si="25"/>
        <v>7</v>
      </c>
      <c r="G354" t="str">
        <f t="shared" si="26"/>
        <v>202702</v>
      </c>
      <c r="H354" s="5">
        <f t="shared" si="27"/>
        <v>20</v>
      </c>
      <c r="I354">
        <f t="shared" si="28"/>
        <v>4</v>
      </c>
    </row>
    <row r="355" spans="1:9">
      <c r="A355" s="3">
        <f t="shared" si="29"/>
        <v>46435</v>
      </c>
      <c r="B355" s="3" t="str">
        <f>TEXT(calendar[[#This Row],[date]], "yymmdd")</f>
        <v>270217</v>
      </c>
      <c r="C355" s="4">
        <f>DATEDIF("1/1/2024", calendar[[#This Row],[date]], "M")</f>
        <v>37</v>
      </c>
      <c r="D355" s="3" t="str">
        <f>TEXT(calendar[[#This Row],[date]], "dd")</f>
        <v>17</v>
      </c>
      <c r="E355" s="1">
        <f>IF(OR(WEEKDAY(calendar[[#This Row],[date]])= 1, WEEKDAY(calendar[[#This Row],[date]])=7), 0, 1)</f>
        <v>1</v>
      </c>
      <c r="F355">
        <f t="shared" si="25"/>
        <v>7</v>
      </c>
      <c r="G355" t="str">
        <f t="shared" si="26"/>
        <v>202702</v>
      </c>
      <c r="H355" s="5">
        <f t="shared" si="27"/>
        <v>20</v>
      </c>
      <c r="I355">
        <f t="shared" si="28"/>
        <v>4</v>
      </c>
    </row>
    <row r="356" spans="1:9">
      <c r="A356" s="3">
        <f t="shared" si="29"/>
        <v>46436</v>
      </c>
      <c r="B356" s="3" t="str">
        <f>TEXT(calendar[[#This Row],[date]], "yymmdd")</f>
        <v>270218</v>
      </c>
      <c r="C356" s="4">
        <f>DATEDIF("1/1/2024", calendar[[#This Row],[date]], "M")</f>
        <v>37</v>
      </c>
      <c r="D356" s="3" t="str">
        <f>TEXT(calendar[[#This Row],[date]], "dd")</f>
        <v>18</v>
      </c>
      <c r="E356" s="1">
        <f>IF(OR(WEEKDAY(calendar[[#This Row],[date]])= 1, WEEKDAY(calendar[[#This Row],[date]])=7), 0, 1)</f>
        <v>1</v>
      </c>
      <c r="F356">
        <f t="shared" si="25"/>
        <v>7</v>
      </c>
      <c r="G356" t="str">
        <f t="shared" si="26"/>
        <v>202702</v>
      </c>
      <c r="H356" s="5">
        <f t="shared" si="27"/>
        <v>20</v>
      </c>
      <c r="I356">
        <f t="shared" si="28"/>
        <v>4</v>
      </c>
    </row>
    <row r="357" spans="1:9">
      <c r="A357" s="3">
        <f t="shared" si="29"/>
        <v>46437</v>
      </c>
      <c r="B357" s="3" t="str">
        <f>TEXT(calendar[[#This Row],[date]], "yymmdd")</f>
        <v>270219</v>
      </c>
      <c r="C357" s="4">
        <f>DATEDIF("1/1/2024", calendar[[#This Row],[date]], "M")</f>
        <v>37</v>
      </c>
      <c r="D357" s="3" t="str">
        <f>TEXT(calendar[[#This Row],[date]], "dd")</f>
        <v>19</v>
      </c>
      <c r="E357" s="1">
        <f>IF(OR(WEEKDAY(calendar[[#This Row],[date]])= 1, WEEKDAY(calendar[[#This Row],[date]])=7), 0, 1)</f>
        <v>1</v>
      </c>
      <c r="F357">
        <f t="shared" si="25"/>
        <v>7</v>
      </c>
      <c r="G357" t="str">
        <f t="shared" si="26"/>
        <v>202702</v>
      </c>
      <c r="H357" s="5">
        <f t="shared" si="27"/>
        <v>20</v>
      </c>
      <c r="I357">
        <f t="shared" si="28"/>
        <v>4</v>
      </c>
    </row>
    <row r="358" spans="1:9">
      <c r="A358" s="3">
        <f t="shared" si="29"/>
        <v>46438</v>
      </c>
      <c r="B358" s="3" t="str">
        <f>TEXT(calendar[[#This Row],[date]], "yymmdd")</f>
        <v>270220</v>
      </c>
      <c r="C358" s="4">
        <f>DATEDIF("1/1/2024", calendar[[#This Row],[date]], "M")</f>
        <v>37</v>
      </c>
      <c r="D358" s="3" t="str">
        <f>TEXT(calendar[[#This Row],[date]], "dd")</f>
        <v>20</v>
      </c>
      <c r="E358" s="1">
        <f>IF(OR(WEEKDAY(calendar[[#This Row],[date]])= 1, WEEKDAY(calendar[[#This Row],[date]])=7), 0, 1)</f>
        <v>0</v>
      </c>
      <c r="F358">
        <f t="shared" si="25"/>
        <v>7</v>
      </c>
      <c r="G358" t="str">
        <f t="shared" si="26"/>
        <v>202702</v>
      </c>
      <c r="H358" s="5">
        <f t="shared" si="27"/>
        <v>20</v>
      </c>
      <c r="I358">
        <f t="shared" si="28"/>
        <v>4</v>
      </c>
    </row>
    <row r="359" spans="1:9">
      <c r="A359" s="3">
        <f t="shared" si="29"/>
        <v>46439</v>
      </c>
      <c r="B359" s="3" t="str">
        <f>TEXT(calendar[[#This Row],[date]], "yymmdd")</f>
        <v>270221</v>
      </c>
      <c r="C359" s="4">
        <f>DATEDIF("1/1/2024", calendar[[#This Row],[date]], "M")</f>
        <v>37</v>
      </c>
      <c r="D359" s="3" t="str">
        <f>TEXT(calendar[[#This Row],[date]], "dd")</f>
        <v>21</v>
      </c>
      <c r="E359" s="1">
        <f>IF(OR(WEEKDAY(calendar[[#This Row],[date]])= 1, WEEKDAY(calendar[[#This Row],[date]])=7), 0, 1)</f>
        <v>0</v>
      </c>
      <c r="F359">
        <f t="shared" si="25"/>
        <v>7</v>
      </c>
      <c r="G359" t="str">
        <f t="shared" si="26"/>
        <v>202702</v>
      </c>
      <c r="H359" s="5">
        <f t="shared" si="27"/>
        <v>20</v>
      </c>
      <c r="I359">
        <f t="shared" si="28"/>
        <v>4</v>
      </c>
    </row>
    <row r="360" spans="1:9">
      <c r="A360" s="3">
        <f t="shared" si="29"/>
        <v>46440</v>
      </c>
      <c r="B360" s="3" t="str">
        <f>TEXT(calendar[[#This Row],[date]], "yymmdd")</f>
        <v>270222</v>
      </c>
      <c r="C360" s="4">
        <f>DATEDIF("1/1/2024", calendar[[#This Row],[date]], "M")</f>
        <v>37</v>
      </c>
      <c r="D360" s="3" t="str">
        <f>TEXT(calendar[[#This Row],[date]], "dd")</f>
        <v>22</v>
      </c>
      <c r="E360" s="1">
        <f>IF(OR(WEEKDAY(calendar[[#This Row],[date]])= 1, WEEKDAY(calendar[[#This Row],[date]])=7), 0, 1)</f>
        <v>1</v>
      </c>
      <c r="F360">
        <f t="shared" si="25"/>
        <v>8</v>
      </c>
      <c r="G360" t="str">
        <f t="shared" si="26"/>
        <v>202702</v>
      </c>
      <c r="H360" s="5">
        <f t="shared" si="27"/>
        <v>20</v>
      </c>
      <c r="I360">
        <f t="shared" si="28"/>
        <v>4</v>
      </c>
    </row>
    <row r="361" spans="1:9">
      <c r="A361" s="3">
        <f t="shared" si="29"/>
        <v>46441</v>
      </c>
      <c r="B361" s="3" t="str">
        <f>TEXT(calendar[[#This Row],[date]], "yymmdd")</f>
        <v>270223</v>
      </c>
      <c r="C361" s="4">
        <f>DATEDIF("1/1/2024", calendar[[#This Row],[date]], "M")</f>
        <v>37</v>
      </c>
      <c r="D361" s="3" t="str">
        <f>TEXT(calendar[[#This Row],[date]], "dd")</f>
        <v>23</v>
      </c>
      <c r="E361" s="1">
        <f>IF(OR(WEEKDAY(calendar[[#This Row],[date]])= 1, WEEKDAY(calendar[[#This Row],[date]])=7), 0, 1)</f>
        <v>1</v>
      </c>
      <c r="F361">
        <f t="shared" si="25"/>
        <v>8</v>
      </c>
      <c r="G361" t="str">
        <f t="shared" si="26"/>
        <v>202702</v>
      </c>
      <c r="H361" s="5">
        <f t="shared" si="27"/>
        <v>20</v>
      </c>
      <c r="I361">
        <f t="shared" si="28"/>
        <v>4</v>
      </c>
    </row>
    <row r="362" spans="1:9">
      <c r="A362" s="3">
        <f t="shared" si="29"/>
        <v>46442</v>
      </c>
      <c r="B362" s="3" t="str">
        <f>TEXT(calendar[[#This Row],[date]], "yymmdd")</f>
        <v>270224</v>
      </c>
      <c r="C362" s="4">
        <f>DATEDIF("1/1/2024", calendar[[#This Row],[date]], "M")</f>
        <v>37</v>
      </c>
      <c r="D362" s="3" t="str">
        <f>TEXT(calendar[[#This Row],[date]], "dd")</f>
        <v>24</v>
      </c>
      <c r="E362" s="1">
        <f>IF(OR(WEEKDAY(calendar[[#This Row],[date]])= 1, WEEKDAY(calendar[[#This Row],[date]])=7), 0, 1)</f>
        <v>1</v>
      </c>
      <c r="F362">
        <f t="shared" si="25"/>
        <v>8</v>
      </c>
      <c r="G362" t="str">
        <f t="shared" si="26"/>
        <v>202702</v>
      </c>
      <c r="H362" s="5">
        <f t="shared" si="27"/>
        <v>20</v>
      </c>
      <c r="I362">
        <f t="shared" si="28"/>
        <v>4</v>
      </c>
    </row>
    <row r="363" spans="1:9">
      <c r="A363" s="3">
        <f t="shared" si="29"/>
        <v>46443</v>
      </c>
      <c r="B363" s="3" t="str">
        <f>TEXT(calendar[[#This Row],[date]], "yymmdd")</f>
        <v>270225</v>
      </c>
      <c r="C363" s="4">
        <f>DATEDIF("1/1/2024", calendar[[#This Row],[date]], "M")</f>
        <v>37</v>
      </c>
      <c r="D363" s="3" t="str">
        <f>TEXT(calendar[[#This Row],[date]], "dd")</f>
        <v>25</v>
      </c>
      <c r="E363" s="1">
        <f>IF(OR(WEEKDAY(calendar[[#This Row],[date]])= 1, WEEKDAY(calendar[[#This Row],[date]])=7), 0, 1)</f>
        <v>1</v>
      </c>
      <c r="F363">
        <f t="shared" si="25"/>
        <v>8</v>
      </c>
      <c r="G363" t="str">
        <f t="shared" si="26"/>
        <v>202702</v>
      </c>
      <c r="H363" s="5">
        <f t="shared" si="27"/>
        <v>20</v>
      </c>
      <c r="I363">
        <f t="shared" si="28"/>
        <v>4</v>
      </c>
    </row>
    <row r="364" spans="1:9">
      <c r="A364" s="3">
        <f t="shared" si="29"/>
        <v>46444</v>
      </c>
      <c r="B364" s="3" t="str">
        <f>TEXT(calendar[[#This Row],[date]], "yymmdd")</f>
        <v>270226</v>
      </c>
      <c r="C364" s="4">
        <f>DATEDIF("1/1/2024", calendar[[#This Row],[date]], "M")</f>
        <v>37</v>
      </c>
      <c r="D364" s="3" t="str">
        <f>TEXT(calendar[[#This Row],[date]], "dd")</f>
        <v>26</v>
      </c>
      <c r="E364" s="1">
        <f>IF(OR(WEEKDAY(calendar[[#This Row],[date]])= 1, WEEKDAY(calendar[[#This Row],[date]])=7), 0, 1)</f>
        <v>1</v>
      </c>
      <c r="F364">
        <f t="shared" si="25"/>
        <v>8</v>
      </c>
      <c r="G364" t="str">
        <f t="shared" si="26"/>
        <v>202702</v>
      </c>
      <c r="H364" s="5">
        <f t="shared" si="27"/>
        <v>20</v>
      </c>
      <c r="I364">
        <f t="shared" si="28"/>
        <v>4</v>
      </c>
    </row>
    <row r="365" spans="1:9">
      <c r="A365" s="3">
        <f t="shared" si="29"/>
        <v>46445</v>
      </c>
      <c r="B365" s="3" t="str">
        <f>TEXT(calendar[[#This Row],[date]], "yymmdd")</f>
        <v>270227</v>
      </c>
      <c r="C365" s="4">
        <f>DATEDIF("1/1/2024", calendar[[#This Row],[date]], "M")</f>
        <v>37</v>
      </c>
      <c r="D365" s="3" t="str">
        <f>TEXT(calendar[[#This Row],[date]], "dd")</f>
        <v>27</v>
      </c>
      <c r="E365" s="1">
        <f>IF(OR(WEEKDAY(calendar[[#This Row],[date]])= 1, WEEKDAY(calendar[[#This Row],[date]])=7), 0, 1)</f>
        <v>0</v>
      </c>
      <c r="F365">
        <f t="shared" si="25"/>
        <v>8</v>
      </c>
      <c r="G365" t="str">
        <f t="shared" si="26"/>
        <v>202702</v>
      </c>
      <c r="H365" s="5">
        <f t="shared" si="27"/>
        <v>20</v>
      </c>
      <c r="I365">
        <f t="shared" si="28"/>
        <v>4</v>
      </c>
    </row>
    <row r="366" spans="1:9">
      <c r="A366" s="3">
        <f t="shared" si="29"/>
        <v>46446</v>
      </c>
      <c r="B366" s="3" t="str">
        <f>TEXT(calendar[[#This Row],[date]], "yymmdd")</f>
        <v>270228</v>
      </c>
      <c r="C366" s="4">
        <f>DATEDIF("1/1/2024", calendar[[#This Row],[date]], "M")</f>
        <v>37</v>
      </c>
      <c r="D366" s="3" t="str">
        <f>TEXT(calendar[[#This Row],[date]], "dd")</f>
        <v>28</v>
      </c>
      <c r="E366" s="1">
        <f>IF(OR(WEEKDAY(calendar[[#This Row],[date]])= 1, WEEKDAY(calendar[[#This Row],[date]])=7), 0, 1)</f>
        <v>0</v>
      </c>
      <c r="F366">
        <f t="shared" si="25"/>
        <v>8</v>
      </c>
      <c r="G366" t="str">
        <f t="shared" si="26"/>
        <v>202702</v>
      </c>
      <c r="H366" s="5">
        <f t="shared" si="27"/>
        <v>20</v>
      </c>
      <c r="I366">
        <f t="shared" si="28"/>
        <v>4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421A-016D-514B-BA6A-3DD5826D15C7}">
  <sheetPr codeName="Sheet8"/>
  <dimension ref="A2:T54"/>
  <sheetViews>
    <sheetView tabSelected="1" workbookViewId="0">
      <selection activeCell="A16" sqref="A16"/>
    </sheetView>
  </sheetViews>
  <sheetFormatPr defaultColWidth="10.6640625" defaultRowHeight="17.100000000000001"/>
  <cols>
    <col min="1" max="16384" width="10.6640625" style="7"/>
  </cols>
  <sheetData>
    <row r="2" spans="1:16" ht="18" thickBot="1"/>
    <row r="3" spans="1:16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</row>
    <row r="4" spans="1:16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</row>
    <row r="5" spans="1:16" ht="18" thickBot="1"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8"/>
    </row>
    <row r="8" spans="1:16">
      <c r="A8" s="7" t="s">
        <v>10</v>
      </c>
    </row>
    <row r="10" spans="1:16">
      <c r="A10" s="7" t="s">
        <v>10</v>
      </c>
    </row>
    <row r="12" spans="1:16">
      <c r="A12" s="7" t="s">
        <v>10</v>
      </c>
    </row>
    <row r="14" spans="1:16">
      <c r="A14" s="7" t="s">
        <v>10</v>
      </c>
    </row>
    <row r="16" spans="1:16">
      <c r="A16" s="7" t="s">
        <v>10</v>
      </c>
    </row>
    <row r="41" spans="2:20">
      <c r="I41" s="17" t="s">
        <v>11</v>
      </c>
      <c r="J41" s="18"/>
      <c r="K41" s="19"/>
      <c r="L41" s="17" t="s">
        <v>12</v>
      </c>
      <c r="M41" s="18"/>
      <c r="N41" s="19"/>
      <c r="O41" s="17" t="s">
        <v>13</v>
      </c>
      <c r="P41" s="18"/>
      <c r="Q41" s="19"/>
      <c r="R41" s="17" t="s">
        <v>14</v>
      </c>
      <c r="S41" s="18"/>
      <c r="T41" s="19"/>
    </row>
    <row r="42" spans="2:20">
      <c r="B42" s="14" t="s">
        <v>15</v>
      </c>
      <c r="C42" s="14" t="s">
        <v>16</v>
      </c>
      <c r="D42" s="15" t="s">
        <v>17</v>
      </c>
      <c r="E42" s="15" t="s">
        <v>18</v>
      </c>
      <c r="F42" s="15" t="s">
        <v>19</v>
      </c>
      <c r="G42" s="15" t="s">
        <v>20</v>
      </c>
      <c r="H42" s="9" t="s">
        <v>21</v>
      </c>
      <c r="I42" s="10" t="s">
        <v>22</v>
      </c>
      <c r="J42" s="9" t="s">
        <v>23</v>
      </c>
      <c r="K42" s="12" t="s">
        <v>24</v>
      </c>
      <c r="L42" s="10" t="s">
        <v>22</v>
      </c>
      <c r="M42" s="9" t="s">
        <v>23</v>
      </c>
      <c r="N42" s="12" t="s">
        <v>24</v>
      </c>
      <c r="O42" s="10" t="s">
        <v>22</v>
      </c>
      <c r="P42" s="9" t="s">
        <v>23</v>
      </c>
      <c r="Q42" s="12" t="s">
        <v>24</v>
      </c>
      <c r="R42" s="10" t="s">
        <v>22</v>
      </c>
      <c r="S42" s="9" t="s">
        <v>23</v>
      </c>
      <c r="T42" s="12" t="s">
        <v>24</v>
      </c>
    </row>
    <row r="43" spans="2:20">
      <c r="B43" s="13"/>
      <c r="C43" s="13"/>
      <c r="D43" s="16"/>
      <c r="E43" s="16"/>
      <c r="F43" s="16"/>
      <c r="G43" s="16"/>
      <c r="H43" s="8">
        <v>46082</v>
      </c>
      <c r="I43" s="11"/>
      <c r="K43" s="13"/>
      <c r="L43" s="11"/>
      <c r="N43" s="13"/>
      <c r="O43" s="11"/>
      <c r="Q43" s="13"/>
      <c r="R43" s="11"/>
      <c r="T43" s="13"/>
    </row>
    <row r="44" spans="2:20">
      <c r="B44" s="13"/>
      <c r="C44" s="13"/>
      <c r="D44" s="16"/>
      <c r="E44" s="16"/>
      <c r="F44" s="16"/>
      <c r="G44" s="16"/>
      <c r="H44" s="8">
        <f>EDATE(H43, 1)</f>
        <v>46113</v>
      </c>
      <c r="I44" s="11"/>
      <c r="K44" s="13"/>
      <c r="L44" s="11"/>
      <c r="N44" s="13"/>
      <c r="O44" s="11"/>
      <c r="Q44" s="13"/>
      <c r="R44" s="11"/>
      <c r="T44" s="13"/>
    </row>
    <row r="45" spans="2:20">
      <c r="B45" s="13"/>
      <c r="C45" s="13"/>
      <c r="D45" s="16"/>
      <c r="E45" s="16"/>
      <c r="F45" s="16"/>
      <c r="G45" s="16"/>
      <c r="H45" s="8">
        <f t="shared" ref="H45:H54" si="0">EDATE(H44, 1)</f>
        <v>46143</v>
      </c>
      <c r="I45" s="11"/>
      <c r="K45" s="13"/>
      <c r="L45" s="11"/>
      <c r="N45" s="13"/>
      <c r="O45" s="11"/>
      <c r="Q45" s="13"/>
      <c r="R45" s="11"/>
      <c r="T45" s="13"/>
    </row>
    <row r="46" spans="2:20">
      <c r="B46" s="13"/>
      <c r="C46" s="13"/>
      <c r="D46" s="16"/>
      <c r="E46" s="16"/>
      <c r="F46" s="16"/>
      <c r="G46" s="16"/>
      <c r="H46" s="8">
        <f t="shared" si="0"/>
        <v>46174</v>
      </c>
      <c r="I46" s="11"/>
      <c r="K46" s="13"/>
      <c r="L46" s="11"/>
      <c r="N46" s="13"/>
      <c r="O46" s="11"/>
      <c r="Q46" s="13"/>
      <c r="R46" s="11"/>
      <c r="T46" s="13"/>
    </row>
    <row r="47" spans="2:20">
      <c r="B47" s="13"/>
      <c r="C47" s="13"/>
      <c r="D47" s="16"/>
      <c r="E47" s="16"/>
      <c r="F47" s="16"/>
      <c r="G47" s="16"/>
      <c r="H47" s="8">
        <f t="shared" si="0"/>
        <v>46204</v>
      </c>
      <c r="I47" s="11"/>
      <c r="K47" s="13"/>
      <c r="L47" s="11"/>
      <c r="N47" s="13"/>
      <c r="O47" s="11"/>
      <c r="Q47" s="13"/>
      <c r="R47" s="11"/>
      <c r="T47" s="13"/>
    </row>
    <row r="48" spans="2:20">
      <c r="B48" s="13"/>
      <c r="C48" s="13"/>
      <c r="D48" s="16"/>
      <c r="E48" s="16"/>
      <c r="F48" s="16"/>
      <c r="G48" s="16"/>
      <c r="H48" s="8">
        <f t="shared" si="0"/>
        <v>46235</v>
      </c>
      <c r="I48" s="11"/>
      <c r="K48" s="13"/>
      <c r="L48" s="11"/>
      <c r="N48" s="13"/>
      <c r="O48" s="11"/>
      <c r="Q48" s="13"/>
      <c r="R48" s="11"/>
      <c r="T48" s="13"/>
    </row>
    <row r="49" spans="2:20">
      <c r="B49" s="13"/>
      <c r="C49" s="13"/>
      <c r="D49" s="16"/>
      <c r="E49" s="16"/>
      <c r="F49" s="16"/>
      <c r="G49" s="16"/>
      <c r="H49" s="8">
        <f t="shared" si="0"/>
        <v>46266</v>
      </c>
      <c r="I49" s="11"/>
      <c r="K49" s="13"/>
      <c r="L49" s="11"/>
      <c r="N49" s="13"/>
      <c r="O49" s="11"/>
      <c r="Q49" s="13"/>
      <c r="R49" s="11"/>
      <c r="T49" s="13"/>
    </row>
    <row r="50" spans="2:20">
      <c r="B50" s="13"/>
      <c r="C50" s="13"/>
      <c r="D50" s="16"/>
      <c r="E50" s="16"/>
      <c r="F50" s="16"/>
      <c r="G50" s="16"/>
      <c r="H50" s="8">
        <f t="shared" si="0"/>
        <v>46296</v>
      </c>
      <c r="I50" s="11"/>
      <c r="K50" s="13"/>
      <c r="L50" s="11"/>
      <c r="N50" s="13"/>
      <c r="O50" s="11"/>
      <c r="Q50" s="13"/>
      <c r="R50" s="11"/>
      <c r="T50" s="13"/>
    </row>
    <row r="51" spans="2:20">
      <c r="B51" s="13"/>
      <c r="C51" s="13"/>
      <c r="D51" s="16"/>
      <c r="E51" s="16"/>
      <c r="F51" s="16"/>
      <c r="G51" s="16"/>
      <c r="H51" s="8">
        <f t="shared" si="0"/>
        <v>46327</v>
      </c>
      <c r="I51" s="11"/>
      <c r="K51" s="13"/>
      <c r="L51" s="11"/>
      <c r="N51" s="13"/>
      <c r="O51" s="11"/>
      <c r="Q51" s="13"/>
      <c r="R51" s="11"/>
      <c r="T51" s="13"/>
    </row>
    <row r="52" spans="2:20">
      <c r="B52" s="13"/>
      <c r="C52" s="13"/>
      <c r="D52" s="16"/>
      <c r="E52" s="16"/>
      <c r="F52" s="16"/>
      <c r="G52" s="16"/>
      <c r="H52" s="8">
        <f t="shared" si="0"/>
        <v>46357</v>
      </c>
      <c r="I52" s="11"/>
      <c r="K52" s="13"/>
      <c r="L52" s="11"/>
      <c r="N52" s="13"/>
      <c r="O52" s="11"/>
      <c r="Q52" s="13"/>
      <c r="R52" s="11"/>
      <c r="T52" s="13"/>
    </row>
    <row r="53" spans="2:20">
      <c r="B53" s="13"/>
      <c r="C53" s="13"/>
      <c r="D53" s="16"/>
      <c r="E53" s="16"/>
      <c r="F53" s="16"/>
      <c r="G53" s="16"/>
      <c r="H53" s="8">
        <f t="shared" si="0"/>
        <v>46388</v>
      </c>
      <c r="I53" s="11"/>
      <c r="K53" s="13"/>
      <c r="L53" s="11"/>
      <c r="N53" s="13"/>
      <c r="O53" s="11"/>
      <c r="Q53" s="13"/>
      <c r="R53" s="11"/>
      <c r="T53" s="13"/>
    </row>
    <row r="54" spans="2:20">
      <c r="B54" s="13"/>
      <c r="C54" s="13"/>
      <c r="D54" s="16"/>
      <c r="E54" s="16"/>
      <c r="F54" s="16"/>
      <c r="G54" s="16"/>
      <c r="H54" s="8">
        <f t="shared" si="0"/>
        <v>46419</v>
      </c>
      <c r="I54" s="11"/>
      <c r="K54" s="13"/>
      <c r="L54" s="11"/>
      <c r="N54" s="13"/>
      <c r="O54" s="11"/>
      <c r="Q54" s="13"/>
      <c r="R54" s="11"/>
      <c r="T54" s="13"/>
    </row>
  </sheetData>
  <mergeCells count="5">
    <mergeCell ref="I41:K41"/>
    <mergeCell ref="L41:N41"/>
    <mergeCell ref="O41:Q41"/>
    <mergeCell ref="R41:T41"/>
    <mergeCell ref="B3:P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3</xdr:col>
                    <xdr:colOff>596900</xdr:colOff>
                    <xdr:row>7</xdr:row>
                    <xdr:rowOff>0</xdr:rowOff>
                  </from>
                  <to>
                    <xdr:col>5</xdr:col>
                    <xdr:colOff>622300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Drop Down 3">
              <controlPr defaultSize="0" autoLine="0" autoPict="0">
                <anchor moveWithCells="1">
                  <from>
                    <xdr:col>3</xdr:col>
                    <xdr:colOff>596900</xdr:colOff>
                    <xdr:row>9</xdr:row>
                    <xdr:rowOff>0</xdr:rowOff>
                  </from>
                  <to>
                    <xdr:col>5</xdr:col>
                    <xdr:colOff>622300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Drop Down 4">
              <controlPr defaultSize="0" autoLine="0" autoPict="0">
                <anchor moveWithCells="1">
                  <from>
                    <xdr:col>3</xdr:col>
                    <xdr:colOff>596900</xdr:colOff>
                    <xdr:row>10</xdr:row>
                    <xdr:rowOff>190500</xdr:rowOff>
                  </from>
                  <to>
                    <xdr:col>5</xdr:col>
                    <xdr:colOff>622300</xdr:colOff>
                    <xdr:row>12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Drop Down 5">
              <controlPr defaultSize="0" autoLine="0" autoPict="0">
                <anchor moveWithCells="1">
                  <from>
                    <xdr:col>3</xdr:col>
                    <xdr:colOff>609600</xdr:colOff>
                    <xdr:row>12</xdr:row>
                    <xdr:rowOff>139700</xdr:rowOff>
                  </from>
                  <to>
                    <xdr:col>5</xdr:col>
                    <xdr:colOff>635000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Drop Down 6">
              <controlPr defaultSize="0" autoLine="0" autoPict="0">
                <anchor moveWithCells="1">
                  <from>
                    <xdr:col>3</xdr:col>
                    <xdr:colOff>609600</xdr:colOff>
                    <xdr:row>14</xdr:row>
                    <xdr:rowOff>139700</xdr:rowOff>
                  </from>
                  <to>
                    <xdr:col>5</xdr:col>
                    <xdr:colOff>635000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Label 7">
              <controlPr defaultSize="0" autoFill="0" autoLine="0" autoPict="0">
                <anchor moveWithCells="1" sizeWithCells="1">
                  <from>
                    <xdr:col>3</xdr:col>
                    <xdr:colOff>25400</xdr:colOff>
                    <xdr:row>7</xdr:row>
                    <xdr:rowOff>38100</xdr:rowOff>
                  </from>
                  <to>
                    <xdr:col>3</xdr:col>
                    <xdr:colOff>431800</xdr:colOff>
                    <xdr:row>8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" name="Label 8">
              <controlPr defaultSize="0" autoFill="0" autoLine="0" autoPict="0">
                <anchor moveWithCells="1" sizeWithCells="1">
                  <from>
                    <xdr:col>2</xdr:col>
                    <xdr:colOff>304800</xdr:colOff>
                    <xdr:row>9</xdr:row>
                    <xdr:rowOff>25400</xdr:rowOff>
                  </from>
                  <to>
                    <xdr:col>3</xdr:col>
                    <xdr:colOff>457200</xdr:colOff>
                    <xdr:row>10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Label 9">
              <controlPr defaultSize="0" autoFill="0" autoLine="0" autoPict="0">
                <anchor moveWithCells="1" sizeWithCells="1">
                  <from>
                    <xdr:col>2</xdr:col>
                    <xdr:colOff>711200</xdr:colOff>
                    <xdr:row>10</xdr:row>
                    <xdr:rowOff>203200</xdr:rowOff>
                  </from>
                  <to>
                    <xdr:col>3</xdr:col>
                    <xdr:colOff>342900</xdr:colOff>
                    <xdr:row>12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1" name="Label 10">
              <controlPr defaultSize="0" autoFill="0" autoLine="0" autoPict="0">
                <anchor moveWithCells="1" sizeWithCells="1">
                  <from>
                    <xdr:col>2</xdr:col>
                    <xdr:colOff>711200</xdr:colOff>
                    <xdr:row>12</xdr:row>
                    <xdr:rowOff>177800</xdr:rowOff>
                  </from>
                  <to>
                    <xdr:col>3</xdr:col>
                    <xdr:colOff>355600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2" name="Label 11">
              <controlPr defaultSize="0" autoFill="0" autoLine="0" autoPict="0">
                <anchor moveWithCells="1" sizeWithCells="1">
                  <from>
                    <xdr:col>2</xdr:col>
                    <xdr:colOff>508000</xdr:colOff>
                    <xdr:row>14</xdr:row>
                    <xdr:rowOff>127000</xdr:rowOff>
                  </from>
                  <to>
                    <xdr:col>3</xdr:col>
                    <xdr:colOff>368300</xdr:colOff>
                    <xdr:row>15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3" name="Check Box 12">
              <controlPr defaultSize="0" autoFill="0" autoLine="0" autoPict="0">
                <anchor moveWithCells="1">
                  <from>
                    <xdr:col>6</xdr:col>
                    <xdr:colOff>889000</xdr:colOff>
                    <xdr:row>6</xdr:row>
                    <xdr:rowOff>152400</xdr:rowOff>
                  </from>
                  <to>
                    <xdr:col>8</xdr:col>
                    <xdr:colOff>901700</xdr:colOff>
                    <xdr:row>8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4" name="Check Box 13">
              <controlPr defaultSize="0" autoFill="0" autoLine="0" autoPict="0">
                <anchor moveWithCells="1">
                  <from>
                    <xdr:col>6</xdr:col>
                    <xdr:colOff>889000</xdr:colOff>
                    <xdr:row>8</xdr:row>
                    <xdr:rowOff>152400</xdr:rowOff>
                  </from>
                  <to>
                    <xdr:col>8</xdr:col>
                    <xdr:colOff>901700</xdr:colOff>
                    <xdr:row>10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5" name="Check Box 14">
              <controlPr defaultSize="0" autoFill="0" autoLine="0" autoPict="0">
                <anchor moveWithCells="1">
                  <from>
                    <xdr:col>6</xdr:col>
                    <xdr:colOff>889000</xdr:colOff>
                    <xdr:row>10</xdr:row>
                    <xdr:rowOff>127000</xdr:rowOff>
                  </from>
                  <to>
                    <xdr:col>8</xdr:col>
                    <xdr:colOff>901700</xdr:colOff>
                    <xdr:row>12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6" name="Check Box 15">
              <controlPr defaultSize="0" autoFill="0" autoLine="0" autoPict="0">
                <anchor moveWithCells="1">
                  <from>
                    <xdr:col>6</xdr:col>
                    <xdr:colOff>901700</xdr:colOff>
                    <xdr:row>12</xdr:row>
                    <xdr:rowOff>114300</xdr:rowOff>
                  </from>
                  <to>
                    <xdr:col>9</xdr:col>
                    <xdr:colOff>0</xdr:colOff>
                    <xdr:row>14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7" name="Check Box 16">
              <controlPr defaultSize="0" autoFill="0" autoLine="0" autoPict="0">
                <anchor moveWithCells="1">
                  <from>
                    <xdr:col>6</xdr:col>
                    <xdr:colOff>889000</xdr:colOff>
                    <xdr:row>14</xdr:row>
                    <xdr:rowOff>76200</xdr:rowOff>
                  </from>
                  <to>
                    <xdr:col>8</xdr:col>
                    <xdr:colOff>901700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8" name="Group Box 17">
              <controlPr defaultSize="0" autoFill="0" autoPict="0">
                <anchor moveWithCells="1">
                  <from>
                    <xdr:col>6</xdr:col>
                    <xdr:colOff>685800</xdr:colOff>
                    <xdr:row>6</xdr:row>
                    <xdr:rowOff>114300</xdr:rowOff>
                  </from>
                  <to>
                    <xdr:col>9</xdr:col>
                    <xdr:colOff>114300</xdr:colOff>
                    <xdr:row>16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9" name="Scroll Bar 19">
              <controlPr defaultSize="0" autoPict="0">
                <anchor moveWithCells="1">
                  <from>
                    <xdr:col>6</xdr:col>
                    <xdr:colOff>406400</xdr:colOff>
                    <xdr:row>22</xdr:row>
                    <xdr:rowOff>101600</xdr:rowOff>
                  </from>
                  <to>
                    <xdr:col>7</xdr:col>
                    <xdr:colOff>546100</xdr:colOff>
                    <xdr:row>23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0" name="Scroll Bar 20">
              <controlPr defaultSize="0" autoPict="0">
                <anchor moveWithCells="1">
                  <from>
                    <xdr:col>6</xdr:col>
                    <xdr:colOff>406400</xdr:colOff>
                    <xdr:row>23</xdr:row>
                    <xdr:rowOff>152400</xdr:rowOff>
                  </from>
                  <to>
                    <xdr:col>7</xdr:col>
                    <xdr:colOff>546100</xdr:colOff>
                    <xdr:row>24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1" name="Scroll Bar 21">
              <controlPr defaultSize="0" autoPict="0">
                <anchor moveWithCells="1">
                  <from>
                    <xdr:col>6</xdr:col>
                    <xdr:colOff>406400</xdr:colOff>
                    <xdr:row>24</xdr:row>
                    <xdr:rowOff>203200</xdr:rowOff>
                  </from>
                  <to>
                    <xdr:col>7</xdr:col>
                    <xdr:colOff>546100</xdr:colOff>
                    <xdr:row>25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2" name="Scroll Bar 22">
              <controlPr defaultSize="0" autoPict="0">
                <anchor moveWithCells="1">
                  <from>
                    <xdr:col>6</xdr:col>
                    <xdr:colOff>393700</xdr:colOff>
                    <xdr:row>26</xdr:row>
                    <xdr:rowOff>76200</xdr:rowOff>
                  </from>
                  <to>
                    <xdr:col>7</xdr:col>
                    <xdr:colOff>533400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3" name="Scroll Bar 25">
              <controlPr defaultSize="0" autoPict="0">
                <anchor moveWithCells="1">
                  <from>
                    <xdr:col>6</xdr:col>
                    <xdr:colOff>393700</xdr:colOff>
                    <xdr:row>27</xdr:row>
                    <xdr:rowOff>152400</xdr:rowOff>
                  </from>
                  <to>
                    <xdr:col>7</xdr:col>
                    <xdr:colOff>533400</xdr:colOff>
                    <xdr:row>28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4" name="Scroll Bar 26">
              <controlPr defaultSize="0" autoPict="0">
                <anchor moveWithCells="1">
                  <from>
                    <xdr:col>6</xdr:col>
                    <xdr:colOff>406400</xdr:colOff>
                    <xdr:row>29</xdr:row>
                    <xdr:rowOff>25400</xdr:rowOff>
                  </from>
                  <to>
                    <xdr:col>7</xdr:col>
                    <xdr:colOff>546100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5" name="Label 31">
              <controlPr defaultSize="0" autoFill="0" autoLine="0" autoPict="0">
                <anchor moveWithCells="1" sizeWithCells="1">
                  <from>
                    <xdr:col>5</xdr:col>
                    <xdr:colOff>482600</xdr:colOff>
                    <xdr:row>22</xdr:row>
                    <xdr:rowOff>50800</xdr:rowOff>
                  </from>
                  <to>
                    <xdr:col>6</xdr:col>
                    <xdr:colOff>342900</xdr:colOff>
                    <xdr:row>23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26" name="Label 32">
              <controlPr defaultSize="0" autoFill="0" autoLine="0" autoPict="0">
                <anchor moveWithCells="1" sizeWithCells="1">
                  <from>
                    <xdr:col>5</xdr:col>
                    <xdr:colOff>546100</xdr:colOff>
                    <xdr:row>23</xdr:row>
                    <xdr:rowOff>101600</xdr:rowOff>
                  </from>
                  <to>
                    <xdr:col>6</xdr:col>
                    <xdr:colOff>406400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27" name="Label 33">
              <controlPr defaultSize="0" autoFill="0" autoLine="0" autoPict="0">
                <anchor moveWithCells="1" sizeWithCells="1">
                  <from>
                    <xdr:col>5</xdr:col>
                    <xdr:colOff>571500</xdr:colOff>
                    <xdr:row>24</xdr:row>
                    <xdr:rowOff>152400</xdr:rowOff>
                  </from>
                  <to>
                    <xdr:col>6</xdr:col>
                    <xdr:colOff>431800</xdr:colOff>
                    <xdr:row>25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28" name="Label 34">
              <controlPr defaultSize="0" autoFill="0" autoLine="0" autoPict="0">
                <anchor moveWithCells="1" sizeWithCells="1">
                  <from>
                    <xdr:col>5</xdr:col>
                    <xdr:colOff>609600</xdr:colOff>
                    <xdr:row>26</xdr:row>
                    <xdr:rowOff>25400</xdr:rowOff>
                  </from>
                  <to>
                    <xdr:col>6</xdr:col>
                    <xdr:colOff>381000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29" name="Label 35">
              <controlPr defaultSize="0" autoFill="0" autoLine="0" autoPict="0">
                <anchor moveWithCells="1" sizeWithCells="1">
                  <from>
                    <xdr:col>5</xdr:col>
                    <xdr:colOff>165100</xdr:colOff>
                    <xdr:row>27</xdr:row>
                    <xdr:rowOff>127000</xdr:rowOff>
                  </from>
                  <to>
                    <xdr:col>6</xdr:col>
                    <xdr:colOff>342900</xdr:colOff>
                    <xdr:row>28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0" name="Label 36">
              <controlPr defaultSize="0" autoFill="0" autoLine="0" autoPict="0">
                <anchor moveWithCells="1" sizeWithCells="1">
                  <from>
                    <xdr:col>5</xdr:col>
                    <xdr:colOff>393700</xdr:colOff>
                    <xdr:row>28</xdr:row>
                    <xdr:rowOff>203200</xdr:rowOff>
                  </from>
                  <to>
                    <xdr:col>6</xdr:col>
                    <xdr:colOff>330200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1" name="Label 37">
              <controlPr defaultSize="0" autoFill="0" autoLine="0" autoPict="0">
                <anchor moveWithCells="1" sizeWithCells="1">
                  <from>
                    <xdr:col>5</xdr:col>
                    <xdr:colOff>228600</xdr:colOff>
                    <xdr:row>32</xdr:row>
                    <xdr:rowOff>38100</xdr:rowOff>
                  </from>
                  <to>
                    <xdr:col>6</xdr:col>
                    <xdr:colOff>355600</xdr:colOff>
                    <xdr:row>33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2" name="Scroll Bar 38">
              <controlPr defaultSize="0" autoPict="0">
                <anchor moveWithCells="1">
                  <from>
                    <xdr:col>6</xdr:col>
                    <xdr:colOff>406400</xdr:colOff>
                    <xdr:row>32</xdr:row>
                    <xdr:rowOff>88900</xdr:rowOff>
                  </from>
                  <to>
                    <xdr:col>7</xdr:col>
                    <xdr:colOff>546100</xdr:colOff>
                    <xdr:row>33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33" name="Label 39">
              <controlPr defaultSize="0" autoFill="0" autoLine="0" autoPict="0">
                <anchor moveWithCells="1" sizeWithCells="1">
                  <from>
                    <xdr:col>5</xdr:col>
                    <xdr:colOff>88900</xdr:colOff>
                    <xdr:row>34</xdr:row>
                    <xdr:rowOff>38100</xdr:rowOff>
                  </from>
                  <to>
                    <xdr:col>6</xdr:col>
                    <xdr:colOff>304800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34" name="Scroll Bar 40">
              <controlPr defaultSize="0" autoPict="0">
                <anchor moveWithCells="1">
                  <from>
                    <xdr:col>6</xdr:col>
                    <xdr:colOff>419100</xdr:colOff>
                    <xdr:row>34</xdr:row>
                    <xdr:rowOff>50800</xdr:rowOff>
                  </from>
                  <to>
                    <xdr:col>7</xdr:col>
                    <xdr:colOff>558800</xdr:colOff>
                    <xdr:row>35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35" name="Group Box 41">
              <controlPr defaultSize="0" autoFill="0" autoPict="0">
                <anchor moveWithCells="1">
                  <from>
                    <xdr:col>5</xdr:col>
                    <xdr:colOff>12700</xdr:colOff>
                    <xdr:row>21</xdr:row>
                    <xdr:rowOff>76200</xdr:rowOff>
                  </from>
                  <to>
                    <xdr:col>7</xdr:col>
                    <xdr:colOff>660400</xdr:colOff>
                    <xdr:row>30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36" name="Group Box 42">
              <controlPr defaultSize="0" autoFill="0" autoPict="0">
                <anchor moveWithCells="1">
                  <from>
                    <xdr:col>5</xdr:col>
                    <xdr:colOff>25400</xdr:colOff>
                    <xdr:row>31</xdr:row>
                    <xdr:rowOff>114300</xdr:rowOff>
                  </from>
                  <to>
                    <xdr:col>7</xdr:col>
                    <xdr:colOff>673100</xdr:colOff>
                    <xdr:row>35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7" name="Scroll Bar 44">
              <controlPr defaultSize="0" autoPict="0">
                <anchor moveWithCells="1">
                  <from>
                    <xdr:col>9</xdr:col>
                    <xdr:colOff>520700</xdr:colOff>
                    <xdr:row>22</xdr:row>
                    <xdr:rowOff>76200</xdr:rowOff>
                  </from>
                  <to>
                    <xdr:col>10</xdr:col>
                    <xdr:colOff>660400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38" name="Scroll Bar 45">
              <controlPr defaultSize="0" autoPict="0">
                <anchor moveWithCells="1">
                  <from>
                    <xdr:col>9</xdr:col>
                    <xdr:colOff>520700</xdr:colOff>
                    <xdr:row>23</xdr:row>
                    <xdr:rowOff>127000</xdr:rowOff>
                  </from>
                  <to>
                    <xdr:col>10</xdr:col>
                    <xdr:colOff>660400</xdr:colOff>
                    <xdr:row>24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39" name="Scroll Bar 46">
              <controlPr defaultSize="0" autoPict="0">
                <anchor moveWithCells="1">
                  <from>
                    <xdr:col>9</xdr:col>
                    <xdr:colOff>520700</xdr:colOff>
                    <xdr:row>24</xdr:row>
                    <xdr:rowOff>177800</xdr:rowOff>
                  </from>
                  <to>
                    <xdr:col>10</xdr:col>
                    <xdr:colOff>660400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0" name="Scroll Bar 47">
              <controlPr defaultSize="0" autoPict="0">
                <anchor moveWithCells="1">
                  <from>
                    <xdr:col>9</xdr:col>
                    <xdr:colOff>508000</xdr:colOff>
                    <xdr:row>26</xdr:row>
                    <xdr:rowOff>50800</xdr:rowOff>
                  </from>
                  <to>
                    <xdr:col>10</xdr:col>
                    <xdr:colOff>647700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41" name="Scroll Bar 48">
              <controlPr defaultSize="0" autoPict="0">
                <anchor moveWithCells="1">
                  <from>
                    <xdr:col>9</xdr:col>
                    <xdr:colOff>508000</xdr:colOff>
                    <xdr:row>27</xdr:row>
                    <xdr:rowOff>127000</xdr:rowOff>
                  </from>
                  <to>
                    <xdr:col>10</xdr:col>
                    <xdr:colOff>647700</xdr:colOff>
                    <xdr:row>28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42" name="Scroll Bar 49">
              <controlPr defaultSize="0" autoPict="0">
                <anchor moveWithCells="1">
                  <from>
                    <xdr:col>9</xdr:col>
                    <xdr:colOff>520700</xdr:colOff>
                    <xdr:row>29</xdr:row>
                    <xdr:rowOff>0</xdr:rowOff>
                  </from>
                  <to>
                    <xdr:col>10</xdr:col>
                    <xdr:colOff>660400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43" name="Label 50">
              <controlPr defaultSize="0" autoFill="0" autoLine="0" autoPict="0">
                <anchor moveWithCells="1" sizeWithCells="1">
                  <from>
                    <xdr:col>8</xdr:col>
                    <xdr:colOff>596900</xdr:colOff>
                    <xdr:row>22</xdr:row>
                    <xdr:rowOff>25400</xdr:rowOff>
                  </from>
                  <to>
                    <xdr:col>9</xdr:col>
                    <xdr:colOff>457200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44" name="Label 51">
              <controlPr defaultSize="0" autoFill="0" autoLine="0" autoPict="0">
                <anchor moveWithCells="1" sizeWithCells="1">
                  <from>
                    <xdr:col>8</xdr:col>
                    <xdr:colOff>660400</xdr:colOff>
                    <xdr:row>23</xdr:row>
                    <xdr:rowOff>76200</xdr:rowOff>
                  </from>
                  <to>
                    <xdr:col>9</xdr:col>
                    <xdr:colOff>520700</xdr:colOff>
                    <xdr:row>24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45" name="Label 52">
              <controlPr defaultSize="0" autoFill="0" autoLine="0" autoPict="0">
                <anchor moveWithCells="1" sizeWithCells="1">
                  <from>
                    <xdr:col>8</xdr:col>
                    <xdr:colOff>685800</xdr:colOff>
                    <xdr:row>24</xdr:row>
                    <xdr:rowOff>127000</xdr:rowOff>
                  </from>
                  <to>
                    <xdr:col>9</xdr:col>
                    <xdr:colOff>546100</xdr:colOff>
                    <xdr:row>25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46" name="Label 53">
              <controlPr defaultSize="0" autoFill="0" autoLine="0" autoPict="0">
                <anchor moveWithCells="1" sizeWithCells="1">
                  <from>
                    <xdr:col>8</xdr:col>
                    <xdr:colOff>723900</xdr:colOff>
                    <xdr:row>26</xdr:row>
                    <xdr:rowOff>0</xdr:rowOff>
                  </from>
                  <to>
                    <xdr:col>9</xdr:col>
                    <xdr:colOff>495300</xdr:colOff>
                    <xdr:row>27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47" name="Label 54">
              <controlPr defaultSize="0" autoFill="0" autoLine="0" autoPict="0">
                <anchor moveWithCells="1" sizeWithCells="1">
                  <from>
                    <xdr:col>8</xdr:col>
                    <xdr:colOff>279400</xdr:colOff>
                    <xdr:row>27</xdr:row>
                    <xdr:rowOff>101600</xdr:rowOff>
                  </from>
                  <to>
                    <xdr:col>9</xdr:col>
                    <xdr:colOff>457200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48" name="Label 55">
              <controlPr defaultSize="0" autoFill="0" autoLine="0" autoPict="0">
                <anchor moveWithCells="1" sizeWithCells="1">
                  <from>
                    <xdr:col>8</xdr:col>
                    <xdr:colOff>508000</xdr:colOff>
                    <xdr:row>28</xdr:row>
                    <xdr:rowOff>177800</xdr:rowOff>
                  </from>
                  <to>
                    <xdr:col>9</xdr:col>
                    <xdr:colOff>444500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49" name="Label 56">
              <controlPr defaultSize="0" autoFill="0" autoLine="0" autoPict="0">
                <anchor moveWithCells="1" sizeWithCells="1">
                  <from>
                    <xdr:col>8</xdr:col>
                    <xdr:colOff>342900</xdr:colOff>
                    <xdr:row>32</xdr:row>
                    <xdr:rowOff>12700</xdr:rowOff>
                  </from>
                  <to>
                    <xdr:col>9</xdr:col>
                    <xdr:colOff>469900</xdr:colOff>
                    <xdr:row>33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0" name="Scroll Bar 57">
              <controlPr defaultSize="0" autoPict="0">
                <anchor moveWithCells="1">
                  <from>
                    <xdr:col>9</xdr:col>
                    <xdr:colOff>520700</xdr:colOff>
                    <xdr:row>32</xdr:row>
                    <xdr:rowOff>63500</xdr:rowOff>
                  </from>
                  <to>
                    <xdr:col>10</xdr:col>
                    <xdr:colOff>660400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51" name="Label 58">
              <controlPr defaultSize="0" autoFill="0" autoLine="0" autoPict="0">
                <anchor moveWithCells="1" sizeWithCells="1">
                  <from>
                    <xdr:col>8</xdr:col>
                    <xdr:colOff>203200</xdr:colOff>
                    <xdr:row>34</xdr:row>
                    <xdr:rowOff>12700</xdr:rowOff>
                  </from>
                  <to>
                    <xdr:col>9</xdr:col>
                    <xdr:colOff>419100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52" name="Scroll Bar 59">
              <controlPr defaultSize="0" autoPict="0">
                <anchor moveWithCells="1">
                  <from>
                    <xdr:col>9</xdr:col>
                    <xdr:colOff>533400</xdr:colOff>
                    <xdr:row>34</xdr:row>
                    <xdr:rowOff>25400</xdr:rowOff>
                  </from>
                  <to>
                    <xdr:col>10</xdr:col>
                    <xdr:colOff>673100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53" name="Group Box 60">
              <controlPr defaultSize="0" autoFill="0" autoPict="0">
                <anchor moveWithCells="1">
                  <from>
                    <xdr:col>8</xdr:col>
                    <xdr:colOff>127000</xdr:colOff>
                    <xdr:row>21</xdr:row>
                    <xdr:rowOff>50800</xdr:rowOff>
                  </from>
                  <to>
                    <xdr:col>10</xdr:col>
                    <xdr:colOff>774700</xdr:colOff>
                    <xdr:row>30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54" name="Scroll Bar 62">
              <controlPr defaultSize="0" autoPict="0">
                <anchor moveWithCells="1">
                  <from>
                    <xdr:col>12</xdr:col>
                    <xdr:colOff>647700</xdr:colOff>
                    <xdr:row>22</xdr:row>
                    <xdr:rowOff>101600</xdr:rowOff>
                  </from>
                  <to>
                    <xdr:col>13</xdr:col>
                    <xdr:colOff>787400</xdr:colOff>
                    <xdr:row>23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55" name="Scroll Bar 63">
              <controlPr defaultSize="0" autoPict="0">
                <anchor moveWithCells="1">
                  <from>
                    <xdr:col>12</xdr:col>
                    <xdr:colOff>647700</xdr:colOff>
                    <xdr:row>23</xdr:row>
                    <xdr:rowOff>152400</xdr:rowOff>
                  </from>
                  <to>
                    <xdr:col>13</xdr:col>
                    <xdr:colOff>787400</xdr:colOff>
                    <xdr:row>24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56" name="Scroll Bar 64">
              <controlPr defaultSize="0" autoPict="0">
                <anchor moveWithCells="1">
                  <from>
                    <xdr:col>12</xdr:col>
                    <xdr:colOff>647700</xdr:colOff>
                    <xdr:row>24</xdr:row>
                    <xdr:rowOff>203200</xdr:rowOff>
                  </from>
                  <to>
                    <xdr:col>13</xdr:col>
                    <xdr:colOff>787400</xdr:colOff>
                    <xdr:row>25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57" name="Scroll Bar 65">
              <controlPr defaultSize="0" autoPict="0">
                <anchor moveWithCells="1">
                  <from>
                    <xdr:col>12</xdr:col>
                    <xdr:colOff>635000</xdr:colOff>
                    <xdr:row>26</xdr:row>
                    <xdr:rowOff>76200</xdr:rowOff>
                  </from>
                  <to>
                    <xdr:col>13</xdr:col>
                    <xdr:colOff>774700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58" name="Scroll Bar 66">
              <controlPr defaultSize="0" autoPict="0">
                <anchor moveWithCells="1">
                  <from>
                    <xdr:col>12</xdr:col>
                    <xdr:colOff>635000</xdr:colOff>
                    <xdr:row>27</xdr:row>
                    <xdr:rowOff>152400</xdr:rowOff>
                  </from>
                  <to>
                    <xdr:col>13</xdr:col>
                    <xdr:colOff>774700</xdr:colOff>
                    <xdr:row>28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59" name="Scroll Bar 67">
              <controlPr defaultSize="0" autoPict="0">
                <anchor moveWithCells="1">
                  <from>
                    <xdr:col>12</xdr:col>
                    <xdr:colOff>647700</xdr:colOff>
                    <xdr:row>29</xdr:row>
                    <xdr:rowOff>25400</xdr:rowOff>
                  </from>
                  <to>
                    <xdr:col>13</xdr:col>
                    <xdr:colOff>787400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60" name="Label 68">
              <controlPr defaultSize="0" autoFill="0" autoLine="0" autoPict="0">
                <anchor moveWithCells="1" sizeWithCells="1">
                  <from>
                    <xdr:col>11</xdr:col>
                    <xdr:colOff>723900</xdr:colOff>
                    <xdr:row>22</xdr:row>
                    <xdr:rowOff>50800</xdr:rowOff>
                  </from>
                  <to>
                    <xdr:col>12</xdr:col>
                    <xdr:colOff>584200</xdr:colOff>
                    <xdr:row>23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61" name="Label 69">
              <controlPr defaultSize="0" autoFill="0" autoLine="0" autoPict="0">
                <anchor moveWithCells="1" sizeWithCells="1">
                  <from>
                    <xdr:col>11</xdr:col>
                    <xdr:colOff>787400</xdr:colOff>
                    <xdr:row>23</xdr:row>
                    <xdr:rowOff>101600</xdr:rowOff>
                  </from>
                  <to>
                    <xdr:col>12</xdr:col>
                    <xdr:colOff>647700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62" name="Label 70">
              <controlPr defaultSize="0" autoFill="0" autoLine="0" autoPict="0">
                <anchor moveWithCells="1" sizeWithCells="1">
                  <from>
                    <xdr:col>11</xdr:col>
                    <xdr:colOff>812800</xdr:colOff>
                    <xdr:row>24</xdr:row>
                    <xdr:rowOff>152400</xdr:rowOff>
                  </from>
                  <to>
                    <xdr:col>12</xdr:col>
                    <xdr:colOff>673100</xdr:colOff>
                    <xdr:row>25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63" name="Label 71">
              <controlPr defaultSize="0" autoFill="0" autoLine="0" autoPict="0">
                <anchor moveWithCells="1" sizeWithCells="1">
                  <from>
                    <xdr:col>11</xdr:col>
                    <xdr:colOff>850900</xdr:colOff>
                    <xdr:row>26</xdr:row>
                    <xdr:rowOff>25400</xdr:rowOff>
                  </from>
                  <to>
                    <xdr:col>12</xdr:col>
                    <xdr:colOff>622300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64" name="Label 72">
              <controlPr defaultSize="0" autoFill="0" autoLine="0" autoPict="0">
                <anchor moveWithCells="1" sizeWithCells="1">
                  <from>
                    <xdr:col>11</xdr:col>
                    <xdr:colOff>406400</xdr:colOff>
                    <xdr:row>27</xdr:row>
                    <xdr:rowOff>127000</xdr:rowOff>
                  </from>
                  <to>
                    <xdr:col>12</xdr:col>
                    <xdr:colOff>584200</xdr:colOff>
                    <xdr:row>28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65" name="Label 73">
              <controlPr defaultSize="0" autoFill="0" autoLine="0" autoPict="0">
                <anchor moveWithCells="1" sizeWithCells="1">
                  <from>
                    <xdr:col>11</xdr:col>
                    <xdr:colOff>635000</xdr:colOff>
                    <xdr:row>28</xdr:row>
                    <xdr:rowOff>203200</xdr:rowOff>
                  </from>
                  <to>
                    <xdr:col>12</xdr:col>
                    <xdr:colOff>571500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66" name="Label 74">
              <controlPr defaultSize="0" autoFill="0" autoLine="0" autoPict="0">
                <anchor moveWithCells="1" sizeWithCells="1">
                  <from>
                    <xdr:col>11</xdr:col>
                    <xdr:colOff>469900</xdr:colOff>
                    <xdr:row>32</xdr:row>
                    <xdr:rowOff>38100</xdr:rowOff>
                  </from>
                  <to>
                    <xdr:col>12</xdr:col>
                    <xdr:colOff>596900</xdr:colOff>
                    <xdr:row>33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67" name="Scroll Bar 75">
              <controlPr defaultSize="0" autoPict="0">
                <anchor moveWithCells="1">
                  <from>
                    <xdr:col>12</xdr:col>
                    <xdr:colOff>647700</xdr:colOff>
                    <xdr:row>32</xdr:row>
                    <xdr:rowOff>88900</xdr:rowOff>
                  </from>
                  <to>
                    <xdr:col>13</xdr:col>
                    <xdr:colOff>787400</xdr:colOff>
                    <xdr:row>33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68" name="Label 76">
              <controlPr defaultSize="0" autoFill="0" autoLine="0" autoPict="0">
                <anchor moveWithCells="1" sizeWithCells="1">
                  <from>
                    <xdr:col>11</xdr:col>
                    <xdr:colOff>330200</xdr:colOff>
                    <xdr:row>34</xdr:row>
                    <xdr:rowOff>38100</xdr:rowOff>
                  </from>
                  <to>
                    <xdr:col>12</xdr:col>
                    <xdr:colOff>546100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69" name="Scroll Bar 77">
              <controlPr defaultSize="0" autoPict="0">
                <anchor moveWithCells="1">
                  <from>
                    <xdr:col>12</xdr:col>
                    <xdr:colOff>660400</xdr:colOff>
                    <xdr:row>34</xdr:row>
                    <xdr:rowOff>50800</xdr:rowOff>
                  </from>
                  <to>
                    <xdr:col>13</xdr:col>
                    <xdr:colOff>800100</xdr:colOff>
                    <xdr:row>35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70" name="Group Box 78">
              <controlPr defaultSize="0" autoFill="0" autoPict="0">
                <anchor moveWithCells="1">
                  <from>
                    <xdr:col>11</xdr:col>
                    <xdr:colOff>254000</xdr:colOff>
                    <xdr:row>21</xdr:row>
                    <xdr:rowOff>76200</xdr:rowOff>
                  </from>
                  <to>
                    <xdr:col>13</xdr:col>
                    <xdr:colOff>901700</xdr:colOff>
                    <xdr:row>30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71" name="Group Box 79">
              <controlPr defaultSize="0" autoFill="0" autoPict="0">
                <anchor moveWithCells="1">
                  <from>
                    <xdr:col>8</xdr:col>
                    <xdr:colOff>127000</xdr:colOff>
                    <xdr:row>31</xdr:row>
                    <xdr:rowOff>63500</xdr:rowOff>
                  </from>
                  <to>
                    <xdr:col>10</xdr:col>
                    <xdr:colOff>774700</xdr:colOff>
                    <xdr:row>35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72" name="Group Box 80">
              <controlPr defaultSize="0" autoFill="0" autoPict="0">
                <anchor moveWithCells="1">
                  <from>
                    <xdr:col>11</xdr:col>
                    <xdr:colOff>254000</xdr:colOff>
                    <xdr:row>31</xdr:row>
                    <xdr:rowOff>50800</xdr:rowOff>
                  </from>
                  <to>
                    <xdr:col>13</xdr:col>
                    <xdr:colOff>901700</xdr:colOff>
                    <xdr:row>35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73" name="Group Box 82">
              <controlPr defaultSize="0" autoFill="0" autoPict="0">
                <anchor moveWithCells="1">
                  <from>
                    <xdr:col>4</xdr:col>
                    <xdr:colOff>901700</xdr:colOff>
                    <xdr:row>20</xdr:row>
                    <xdr:rowOff>0</xdr:rowOff>
                  </from>
                  <to>
                    <xdr:col>7</xdr:col>
                    <xdr:colOff>736600</xdr:colOff>
                    <xdr:row>36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74" name="Group Box 83">
              <controlPr defaultSize="0" autoFill="0" autoPict="0">
                <anchor moveWithCells="1">
                  <from>
                    <xdr:col>8</xdr:col>
                    <xdr:colOff>50800</xdr:colOff>
                    <xdr:row>19</xdr:row>
                    <xdr:rowOff>190500</xdr:rowOff>
                  </from>
                  <to>
                    <xdr:col>10</xdr:col>
                    <xdr:colOff>838200</xdr:colOff>
                    <xdr:row>36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75" name="Group Box 84">
              <controlPr defaultSize="0" autoFill="0" autoPict="0">
                <anchor moveWithCells="1">
                  <from>
                    <xdr:col>11</xdr:col>
                    <xdr:colOff>177800</xdr:colOff>
                    <xdr:row>19</xdr:row>
                    <xdr:rowOff>203200</xdr:rowOff>
                  </from>
                  <to>
                    <xdr:col>14</xdr:col>
                    <xdr:colOff>12700</xdr:colOff>
                    <xdr:row>36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53EF1F6A9B52479D97FED45699B5FB" ma:contentTypeVersion="3" ma:contentTypeDescription="Create a new document." ma:contentTypeScope="" ma:versionID="f5f3d5cacc99c298229f7408bcb2805f">
  <xsd:schema xmlns:xsd="http://www.w3.org/2001/XMLSchema" xmlns:xs="http://www.w3.org/2001/XMLSchema" xmlns:p="http://schemas.microsoft.com/office/2006/metadata/properties" xmlns:ns2="7883d9ce-6b7a-4251-b67c-4abef0189db3" targetNamespace="http://schemas.microsoft.com/office/2006/metadata/properties" ma:root="true" ma:fieldsID="1ecd76845b70d2591895fd29f257426c" ns2:_="">
    <xsd:import namespace="7883d9ce-6b7a-4251-b67c-4abef0189d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3d9ce-6b7a-4251-b67c-4abef0189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AB98F7-4E1F-4ADF-81BF-CD95349ACF48}"/>
</file>

<file path=customXml/itemProps2.xml><?xml version="1.0" encoding="utf-8"?>
<ds:datastoreItem xmlns:ds="http://schemas.openxmlformats.org/officeDocument/2006/customXml" ds:itemID="{5E0C33F2-F491-414A-BC9D-268024077092}"/>
</file>

<file path=customXml/itemProps3.xml><?xml version="1.0" encoding="utf-8"?>
<ds:datastoreItem xmlns:ds="http://schemas.openxmlformats.org/officeDocument/2006/customXml" ds:itemID="{688CB9BE-0577-4A12-9593-49D65D7E91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Sagar Kalyankar</dc:creator>
  <cp:keywords/>
  <dc:description/>
  <cp:lastModifiedBy/>
  <cp:revision/>
  <dcterms:created xsi:type="dcterms:W3CDTF">2026-06-01T02:25:22Z</dcterms:created>
  <dcterms:modified xsi:type="dcterms:W3CDTF">2026-09-06T10:00:17Z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0x0101008A53EF1F6A9B52479D97FED45699B5FB</vt:lpwstr>
  </property>
</Properties>
</file>